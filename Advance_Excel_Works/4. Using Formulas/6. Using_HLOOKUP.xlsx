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4. Using Formulas\"/>
    </mc:Choice>
  </mc:AlternateContent>
  <xr:revisionPtr revIDLastSave="0" documentId="8_{7B35DD47-FD74-4610-B51E-094DBA6A2E46}" xr6:coauthVersionLast="47" xr6:coauthVersionMax="47" xr10:uidLastSave="{00000000-0000-0000-0000-000000000000}"/>
  <bookViews>
    <workbookView xWindow="-120" yWindow="-120" windowWidth="20730" windowHeight="11760" xr2:uid="{1BCF6B57-1BD5-4216-97BD-2EF89A63F183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<sst xmlns="http://schemas.openxmlformats.org/spreadsheetml/2006/main" count="130" uniqueCount="61">
  <si>
    <t>Name</t>
  </si>
  <si>
    <t>Gender</t>
  </si>
  <si>
    <t>Department</t>
  </si>
  <si>
    <t>Salary</t>
  </si>
  <si>
    <t>DateOfBirth</t>
  </si>
  <si>
    <t>Age</t>
  </si>
  <si>
    <t>Minerva Ricardot</t>
  </si>
  <si>
    <t>Male</t>
  </si>
  <si>
    <t>Services</t>
  </si>
  <si>
    <t>Oona Donan</t>
  </si>
  <si>
    <t>Female</t>
  </si>
  <si>
    <t>Business Development</t>
  </si>
  <si>
    <t>Mick Spraberry</t>
  </si>
  <si>
    <t>Mackenzie Hannis</t>
  </si>
  <si>
    <t>Training</t>
  </si>
  <si>
    <t>Jessica Callcott</t>
  </si>
  <si>
    <t>Marketing</t>
  </si>
  <si>
    <t xml:space="preserve"> Leena Bruckshaw</t>
  </si>
  <si>
    <t>Research and Development</t>
  </si>
  <si>
    <t>Billi Fellgate</t>
  </si>
  <si>
    <t xml:space="preserve">Cletus McGarahan </t>
  </si>
  <si>
    <t>Engineering</t>
  </si>
  <si>
    <t xml:space="preserve"> Wyn Treadger</t>
  </si>
  <si>
    <t>Evangelina Lergan</t>
  </si>
  <si>
    <t>Support</t>
  </si>
  <si>
    <t>Verla Timmis</t>
  </si>
  <si>
    <t>Devinne Tuny</t>
  </si>
  <si>
    <t>Pearla  Beteriss</t>
  </si>
  <si>
    <t>Maritsa Marusic</t>
  </si>
  <si>
    <t>Daisie McNeice</t>
  </si>
  <si>
    <t>Human Resources</t>
  </si>
  <si>
    <t xml:space="preserve"> Jill Shipsey</t>
  </si>
  <si>
    <t>Accounting</t>
  </si>
  <si>
    <t>Myrle Prandoni</t>
  </si>
  <si>
    <t>Sales</t>
  </si>
  <si>
    <t>Seward Kubera</t>
  </si>
  <si>
    <t>Dean Biggam</t>
  </si>
  <si>
    <t>Daisie Dahlman</t>
  </si>
  <si>
    <t>Danica Nayshe</t>
  </si>
  <si>
    <t>Althea  Bronger</t>
  </si>
  <si>
    <t>Product Management</t>
  </si>
  <si>
    <t>Leonidas Cavaney</t>
  </si>
  <si>
    <t>Dennison Crosswaite</t>
  </si>
  <si>
    <t>Legal</t>
  </si>
  <si>
    <t>Aldrich  Glenny</t>
  </si>
  <si>
    <t>Yvette  Bett</t>
  </si>
  <si>
    <t>Renaldo Thomassin</t>
  </si>
  <si>
    <t>Genevra Friday</t>
  </si>
  <si>
    <t>Thekla Lynnett</t>
  </si>
  <si>
    <t>Westbrook Brandino</t>
  </si>
  <si>
    <t xml:space="preserve">Shaylyn Ransbury </t>
  </si>
  <si>
    <t>Grady Rochelle</t>
  </si>
  <si>
    <t>Shellysheldon Mahady</t>
  </si>
  <si>
    <t>Riccardo Hagan</t>
  </si>
  <si>
    <t>Ginger  Myott</t>
  </si>
  <si>
    <t>Aileen McCritchie</t>
  </si>
  <si>
    <t>Oby Sorrel</t>
  </si>
  <si>
    <t>Lincoln Cord</t>
  </si>
  <si>
    <t>Tabby  Astall</t>
  </si>
  <si>
    <t>Julietta Culross</t>
  </si>
  <si>
    <t>HLOOKUP("DateOfBirth",Table1[#All],5,FALSE)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</si>
</sst>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3">
    <dxf>
      <numFmt numFmtId="1" formatCode="0"/>
    </dxf>
    <dxf>
      <numFmt numFmtId="19" formatCode="dd/mm/yyyy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F58AF-D044-405A-9449-ADD9836BBDFF}" name="Table1" displayName="Table1" ref="A1:F42" totalsRowShown="0">
  <autoFilter ref="A1:F42" xr:uid="{F0EF58AF-D044-405A-9449-ADD9836BBDFF}"/>
  <tableColumns count="6">
    <tableColumn id="1" xr3:uid="{3D5E7CDD-9B41-4AD4-9D6D-D8D1CCAD40D8}" name="Name"/>
    <tableColumn id="2" xr3:uid="{CA2013DC-1D40-4863-8351-299E889DC0DD}" name="Gender"/>
    <tableColumn id="3" xr3:uid="{BC2D2AA1-2BC4-4A40-9F92-EA058C7A861A}" name="Department"/>
    <tableColumn id="4" xr3:uid="{9D3EFF43-30C0-4A53-9E38-E6822F3B1EFB}" name="Salary" dataDxfId="2"/>
    <tableColumn id="5" xr3:uid="{207BC8E8-E2E0-46E5-ADA8-65C9D6508E27}" name="DateOfBirth" dataDxfId="1"/>
    <tableColumn id="6" xr3:uid="{84CD63C7-650E-4001-88D0-9447C44E442B}" name="Ag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4F5A-02F0-4F9A-B914-A06114E3266C}">
  <dimension ref="A1:Q42"/>
  <sheetViews>
    <sheetView tabSelected="1" topLeftCell="B1" workbookViewId="0">
      <selection activeCell="K12" sqref="K12"/>
    </sheetView>
  </sheetViews>
  <sheetFormatPr defaultRowHeight="15" x14ac:dyDescent="0.25"/>
  <cols>
    <col min="1" max="1" width="21.42578125" bestFit="1" customWidth="1"/>
    <col min="2" max="2" width="10" bestFit="1" customWidth="1"/>
    <col min="3" max="3" width="25.85546875" bestFit="1" customWidth="1"/>
    <col min="4" max="4" width="12.28515625" style="2" bestFit="1" customWidth="1"/>
    <col min="5" max="5" width="13.85546875" style="1" bestFit="1" customWidth="1"/>
    <col min="6" max="6" width="12" bestFit="1" customWidth="1"/>
    <col min="11" max="11" width="17.5703125" bestFit="1" customWidth="1"/>
    <col min="13" max="13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</row>
    <row r="2" spans="1:17" x14ac:dyDescent="0.25">
      <c r="A2" t="s">
        <v>6</v>
      </c>
      <c r="B2" t="s">
        <v>7</v>
      </c>
      <c r="C2" t="s">
        <v>8</v>
      </c>
      <c r="D2" s="2">
        <v>105468.7</v>
      </c>
      <c r="E2" s="1">
        <v>33920</v>
      </c>
      <c r="F2" s="3">
        <v>32.778082191780825</v>
      </c>
    </row>
    <row r="3" spans="1:17" x14ac:dyDescent="0.25">
      <c r="A3" t="s">
        <v>9</v>
      </c>
      <c r="B3" t="s">
        <v>10</v>
      </c>
      <c r="C3" t="s">
        <v>11</v>
      </c>
      <c r="D3" s="2">
        <v>88360.79</v>
      </c>
      <c r="E3" s="1">
        <v>35310</v>
      </c>
      <c r="F3" s="3">
        <v>28.969863013698632</v>
      </c>
    </row>
    <row r="4" spans="1:17" x14ac:dyDescent="0.25">
      <c r="A4" t="s">
        <v>12</v>
      </c>
      <c r="B4" t="s">
        <v>10</v>
      </c>
      <c r="C4" t="s">
        <v>8</v>
      </c>
      <c r="D4" s="2">
        <v>85879.23</v>
      </c>
      <c r="E4" s="1">
        <v>29657</v>
      </c>
      <c r="F4" s="3">
        <v>44.457534246575342</v>
      </c>
    </row>
    <row r="5" spans="1:17" x14ac:dyDescent="0.25">
      <c r="A5" t="s">
        <v>13</v>
      </c>
      <c r="B5" t="s">
        <v>10</v>
      </c>
      <c r="C5" t="s">
        <v>14</v>
      </c>
      <c r="D5" s="2">
        <v>57002.02</v>
      </c>
      <c r="E5" s="1">
        <v>33696</v>
      </c>
      <c r="F5" s="3">
        <v>33.391780821917806</v>
      </c>
      <c r="M5" s="1"/>
    </row>
    <row r="6" spans="1:17" x14ac:dyDescent="0.25">
      <c r="A6" t="s">
        <v>15</v>
      </c>
      <c r="B6" t="s">
        <v>10</v>
      </c>
      <c r="C6" t="s">
        <v>16</v>
      </c>
      <c r="D6" s="2">
        <v>66017.179999999993</v>
      </c>
      <c r="E6" s="1">
        <v>35243</v>
      </c>
      <c r="F6" s="3">
        <v>29.153424657534245</v>
      </c>
    </row>
    <row r="7" spans="1:17" x14ac:dyDescent="0.25">
      <c r="A7" t="s">
        <v>17</v>
      </c>
      <c r="B7" t="s">
        <v>7</v>
      </c>
      <c r="C7" t="s">
        <v>18</v>
      </c>
      <c r="D7" s="2">
        <v>74279.009999999995</v>
      </c>
      <c r="E7" s="1">
        <v>35065</v>
      </c>
      <c r="F7" s="3">
        <v>29.641095890410959</v>
      </c>
      <c r="K7" s="1">
        <f>HLOOKUP("DateOfBirth",Table1[#All],5,FALSE)</f>
        <v>33696</v>
      </c>
      <c r="M7" s="4" t="s">
        <v>60</v>
      </c>
      <c r="N7" s="4"/>
      <c r="O7" s="4"/>
      <c r="P7" s="4"/>
      <c r="Q7" s="4"/>
    </row>
    <row r="8" spans="1:17" x14ac:dyDescent="0.25">
      <c r="A8" t="s">
        <v>19</v>
      </c>
      <c r="B8" t="s">
        <v>10</v>
      </c>
      <c r="C8" t="s">
        <v>11</v>
      </c>
      <c r="D8" s="2">
        <v>68980.52</v>
      </c>
      <c r="E8" s="1">
        <v>35093</v>
      </c>
      <c r="F8" s="3">
        <v>29.564383561643837</v>
      </c>
    </row>
    <row r="9" spans="1:17" x14ac:dyDescent="0.25">
      <c r="A9" t="s">
        <v>20</v>
      </c>
      <c r="B9" t="s">
        <v>10</v>
      </c>
      <c r="C9" t="s">
        <v>21</v>
      </c>
      <c r="D9" s="2">
        <v>114425.19</v>
      </c>
      <c r="E9" s="1">
        <v>29613</v>
      </c>
      <c r="F9" s="3">
        <v>44.578082191780823</v>
      </c>
    </row>
    <row r="10" spans="1:17" x14ac:dyDescent="0.25">
      <c r="A10" t="s">
        <v>22</v>
      </c>
      <c r="B10" t="s">
        <v>10</v>
      </c>
      <c r="C10" t="s">
        <v>11</v>
      </c>
      <c r="D10" s="2">
        <v>69192.850000000006</v>
      </c>
      <c r="E10" s="1">
        <v>39557</v>
      </c>
      <c r="F10" s="3">
        <v>17.334246575342465</v>
      </c>
    </row>
    <row r="11" spans="1:17" x14ac:dyDescent="0.25">
      <c r="A11" t="s">
        <v>23</v>
      </c>
      <c r="B11" t="s">
        <v>7</v>
      </c>
      <c r="C11" t="s">
        <v>24</v>
      </c>
      <c r="D11" s="2">
        <v>61214.26</v>
      </c>
      <c r="E11" s="1">
        <v>33675</v>
      </c>
      <c r="F11" s="3">
        <v>33.449315068493149</v>
      </c>
    </row>
    <row r="12" spans="1:17" x14ac:dyDescent="0.25">
      <c r="A12" t="s">
        <v>25</v>
      </c>
      <c r="B12" t="s">
        <v>7</v>
      </c>
      <c r="C12" t="s">
        <v>24</v>
      </c>
      <c r="D12" s="2">
        <v>54137.05</v>
      </c>
      <c r="E12" s="1">
        <v>35363</v>
      </c>
      <c r="F12" s="3">
        <v>28.824657534246576</v>
      </c>
    </row>
    <row r="13" spans="1:17" x14ac:dyDescent="0.25">
      <c r="A13" t="s">
        <v>26</v>
      </c>
      <c r="B13" t="s">
        <v>7</v>
      </c>
      <c r="C13" t="s">
        <v>21</v>
      </c>
      <c r="D13" s="2">
        <v>39969.72</v>
      </c>
      <c r="E13" s="1">
        <v>33948</v>
      </c>
      <c r="F13" s="3">
        <v>32.701369863013696</v>
      </c>
    </row>
    <row r="14" spans="1:17" x14ac:dyDescent="0.25">
      <c r="A14" t="s">
        <v>27</v>
      </c>
      <c r="B14" t="s">
        <v>7</v>
      </c>
      <c r="C14" t="s">
        <v>8</v>
      </c>
      <c r="D14" s="2">
        <v>69913.39</v>
      </c>
      <c r="E14" s="1">
        <v>35184</v>
      </c>
      <c r="F14" s="3">
        <v>29.315068493150687</v>
      </c>
    </row>
    <row r="15" spans="1:17" x14ac:dyDescent="0.25">
      <c r="A15" t="s">
        <v>28</v>
      </c>
      <c r="B15" t="s">
        <v>7</v>
      </c>
      <c r="C15" t="s">
        <v>18</v>
      </c>
      <c r="D15" s="2">
        <v>52748.63</v>
      </c>
      <c r="E15" s="1">
        <v>29613</v>
      </c>
      <c r="F15" s="3">
        <v>44.578082191780823</v>
      </c>
    </row>
    <row r="16" spans="1:17" x14ac:dyDescent="0.25">
      <c r="A16" t="s">
        <v>29</v>
      </c>
      <c r="B16" t="s">
        <v>7</v>
      </c>
      <c r="C16" t="s">
        <v>30</v>
      </c>
      <c r="D16" s="2">
        <v>50310.09</v>
      </c>
      <c r="E16" s="1">
        <v>36980</v>
      </c>
      <c r="F16" s="3">
        <v>24.394520547945206</v>
      </c>
    </row>
    <row r="17" spans="1:6" x14ac:dyDescent="0.25">
      <c r="A17" t="s">
        <v>31</v>
      </c>
      <c r="B17" t="s">
        <v>7</v>
      </c>
      <c r="C17" t="s">
        <v>32</v>
      </c>
      <c r="D17" s="2">
        <v>52963.65</v>
      </c>
      <c r="E17" s="1">
        <v>37348</v>
      </c>
      <c r="F17" s="3">
        <v>23.386301369863013</v>
      </c>
    </row>
    <row r="18" spans="1:6" x14ac:dyDescent="0.25">
      <c r="A18" t="s">
        <v>33</v>
      </c>
      <c r="B18" t="s">
        <v>7</v>
      </c>
      <c r="C18" t="s">
        <v>34</v>
      </c>
      <c r="D18" s="2">
        <v>62195.47</v>
      </c>
      <c r="E18" s="1">
        <v>38955</v>
      </c>
      <c r="F18" s="3">
        <v>18.983561643835618</v>
      </c>
    </row>
    <row r="19" spans="1:6" x14ac:dyDescent="0.25">
      <c r="A19" t="s">
        <v>35</v>
      </c>
      <c r="B19" t="s">
        <v>7</v>
      </c>
      <c r="C19" t="s">
        <v>21</v>
      </c>
      <c r="D19" s="2">
        <v>43329.22</v>
      </c>
      <c r="E19" s="1">
        <v>35409</v>
      </c>
      <c r="F19" s="3">
        <v>28.698630136986303</v>
      </c>
    </row>
    <row r="20" spans="1:6" x14ac:dyDescent="0.25">
      <c r="A20" t="s">
        <v>36</v>
      </c>
      <c r="B20" t="s">
        <v>10</v>
      </c>
      <c r="C20" t="s">
        <v>14</v>
      </c>
      <c r="D20" s="2">
        <v>71570.990000000005</v>
      </c>
      <c r="E20" s="1">
        <v>36578</v>
      </c>
      <c r="F20" s="3">
        <v>25.495890410958904</v>
      </c>
    </row>
    <row r="21" spans="1:6" x14ac:dyDescent="0.25">
      <c r="A21" t="s">
        <v>37</v>
      </c>
      <c r="B21" t="s">
        <v>10</v>
      </c>
      <c r="C21" t="s">
        <v>30</v>
      </c>
      <c r="D21" s="2">
        <v>61994.76</v>
      </c>
      <c r="E21" s="1">
        <v>35394</v>
      </c>
      <c r="F21" s="3">
        <v>28.739726027397261</v>
      </c>
    </row>
    <row r="22" spans="1:6" x14ac:dyDescent="0.25">
      <c r="A22" t="s">
        <v>38</v>
      </c>
      <c r="B22" t="s">
        <v>10</v>
      </c>
      <c r="C22" t="s">
        <v>8</v>
      </c>
      <c r="D22" s="2">
        <v>89690.38</v>
      </c>
      <c r="E22" s="1">
        <v>33710</v>
      </c>
      <c r="F22" s="3">
        <v>33.353424657534248</v>
      </c>
    </row>
    <row r="23" spans="1:6" x14ac:dyDescent="0.25">
      <c r="A23" t="s">
        <v>39</v>
      </c>
      <c r="B23" t="s">
        <v>7</v>
      </c>
      <c r="C23" t="s">
        <v>40</v>
      </c>
      <c r="D23" s="2">
        <v>104335.03999999999</v>
      </c>
      <c r="E23" s="1">
        <v>29630</v>
      </c>
      <c r="F23" s="3">
        <v>44.531506849315072</v>
      </c>
    </row>
    <row r="24" spans="1:6" x14ac:dyDescent="0.25">
      <c r="A24" t="s">
        <v>41</v>
      </c>
      <c r="B24" t="s">
        <v>7</v>
      </c>
      <c r="C24" t="s">
        <v>32</v>
      </c>
      <c r="D24" s="2">
        <v>52246.29</v>
      </c>
      <c r="E24" s="1">
        <v>35173</v>
      </c>
      <c r="F24" s="3">
        <v>29.345205479452055</v>
      </c>
    </row>
    <row r="25" spans="1:6" x14ac:dyDescent="0.25">
      <c r="A25" t="s">
        <v>42</v>
      </c>
      <c r="B25" t="s">
        <v>7</v>
      </c>
      <c r="C25" t="s">
        <v>43</v>
      </c>
      <c r="D25" s="2">
        <v>90697.67</v>
      </c>
      <c r="E25" s="1">
        <v>36185</v>
      </c>
      <c r="F25" s="3">
        <v>26.572602739726026</v>
      </c>
    </row>
    <row r="26" spans="1:6" x14ac:dyDescent="0.25">
      <c r="A26" t="s">
        <v>44</v>
      </c>
      <c r="B26" t="s">
        <v>7</v>
      </c>
      <c r="C26" t="s">
        <v>11</v>
      </c>
      <c r="D26" s="2">
        <v>90884.32</v>
      </c>
      <c r="E26" s="1">
        <v>35426</v>
      </c>
      <c r="F26" s="3">
        <v>28.652054794520549</v>
      </c>
    </row>
    <row r="27" spans="1:6" x14ac:dyDescent="0.25">
      <c r="A27" t="s">
        <v>45</v>
      </c>
      <c r="B27" t="s">
        <v>7</v>
      </c>
      <c r="C27" t="s">
        <v>30</v>
      </c>
      <c r="D27" s="2">
        <v>76320.44</v>
      </c>
      <c r="E27" s="1">
        <v>36713</v>
      </c>
      <c r="F27" s="3">
        <v>25.126027397260273</v>
      </c>
    </row>
    <row r="28" spans="1:6" x14ac:dyDescent="0.25">
      <c r="A28" t="s">
        <v>46</v>
      </c>
      <c r="B28" t="s">
        <v>7</v>
      </c>
      <c r="C28" t="s">
        <v>11</v>
      </c>
      <c r="D28" s="2">
        <v>73360.38</v>
      </c>
      <c r="E28" s="1">
        <v>29727</v>
      </c>
      <c r="F28" s="3">
        <v>44.265753424657532</v>
      </c>
    </row>
    <row r="29" spans="1:6" x14ac:dyDescent="0.25">
      <c r="A29" t="s">
        <v>47</v>
      </c>
      <c r="B29" t="s">
        <v>10</v>
      </c>
      <c r="C29" t="s">
        <v>18</v>
      </c>
      <c r="D29" s="2">
        <v>50449.46</v>
      </c>
      <c r="E29" s="1">
        <v>33922</v>
      </c>
      <c r="F29" s="3">
        <v>32.772602739726025</v>
      </c>
    </row>
    <row r="30" spans="1:6" x14ac:dyDescent="0.25">
      <c r="A30" t="s">
        <v>48</v>
      </c>
      <c r="B30" t="s">
        <v>7</v>
      </c>
      <c r="C30" t="s">
        <v>14</v>
      </c>
      <c r="D30" s="2">
        <v>53949.26</v>
      </c>
      <c r="E30" s="1">
        <v>35408</v>
      </c>
      <c r="F30" s="3">
        <v>28.701369863013699</v>
      </c>
    </row>
    <row r="31" spans="1:6" x14ac:dyDescent="0.25">
      <c r="A31" t="s">
        <v>49</v>
      </c>
      <c r="B31" t="s">
        <v>7</v>
      </c>
      <c r="C31" t="s">
        <v>43</v>
      </c>
      <c r="D31" s="2">
        <v>113616.23</v>
      </c>
      <c r="E31" s="1">
        <v>33759</v>
      </c>
      <c r="F31" s="3">
        <v>33.219178082191782</v>
      </c>
    </row>
    <row r="32" spans="1:6" x14ac:dyDescent="0.25">
      <c r="A32" t="s">
        <v>50</v>
      </c>
      <c r="B32" t="s">
        <v>10</v>
      </c>
      <c r="C32" t="s">
        <v>24</v>
      </c>
      <c r="D32" s="2">
        <v>100371.31</v>
      </c>
      <c r="E32" s="1">
        <v>29822</v>
      </c>
      <c r="F32" s="3">
        <v>44.005479452054793</v>
      </c>
    </row>
    <row r="33" spans="1:6" x14ac:dyDescent="0.25">
      <c r="A33" t="s">
        <v>51</v>
      </c>
      <c r="B33" t="s">
        <v>10</v>
      </c>
      <c r="C33" t="s">
        <v>32</v>
      </c>
      <c r="D33" s="2">
        <v>69163.39</v>
      </c>
      <c r="E33" s="1">
        <v>33901</v>
      </c>
      <c r="F33" s="3">
        <v>32.830136986301369</v>
      </c>
    </row>
    <row r="34" spans="1:6" x14ac:dyDescent="0.25">
      <c r="A34" t="s">
        <v>52</v>
      </c>
      <c r="B34" t="s">
        <v>7</v>
      </c>
      <c r="C34" t="s">
        <v>14</v>
      </c>
      <c r="D34" s="2">
        <v>114691.03</v>
      </c>
      <c r="E34" s="1">
        <v>29794</v>
      </c>
      <c r="F34" s="3">
        <v>44.082191780821915</v>
      </c>
    </row>
    <row r="35" spans="1:6" x14ac:dyDescent="0.25">
      <c r="A35" t="s">
        <v>53</v>
      </c>
      <c r="B35" t="s">
        <v>7</v>
      </c>
      <c r="C35" t="s">
        <v>30</v>
      </c>
      <c r="D35" s="2">
        <v>86556.96</v>
      </c>
      <c r="E35" s="1">
        <v>29859</v>
      </c>
      <c r="F35" s="3">
        <v>43.904109589041099</v>
      </c>
    </row>
    <row r="36" spans="1:6" x14ac:dyDescent="0.25">
      <c r="A36" t="s">
        <v>54</v>
      </c>
      <c r="B36" t="s">
        <v>10</v>
      </c>
      <c r="C36" t="s">
        <v>8</v>
      </c>
      <c r="D36" s="2">
        <v>31172.77</v>
      </c>
      <c r="E36" s="1">
        <v>35265</v>
      </c>
      <c r="F36" s="3">
        <v>29.093150684931508</v>
      </c>
    </row>
    <row r="37" spans="1:6" x14ac:dyDescent="0.25">
      <c r="A37" t="s">
        <v>55</v>
      </c>
      <c r="B37" t="s">
        <v>7</v>
      </c>
      <c r="C37" t="s">
        <v>11</v>
      </c>
      <c r="D37" s="2">
        <v>80169.42</v>
      </c>
      <c r="E37" s="1">
        <v>29808</v>
      </c>
      <c r="F37" s="3">
        <v>44.043835616438358</v>
      </c>
    </row>
    <row r="38" spans="1:6" x14ac:dyDescent="0.25">
      <c r="A38" t="s">
        <v>48</v>
      </c>
      <c r="B38" t="s">
        <v>7</v>
      </c>
      <c r="C38" t="s">
        <v>14</v>
      </c>
      <c r="D38" s="2">
        <v>53949.26</v>
      </c>
      <c r="E38" s="1">
        <v>35408</v>
      </c>
      <c r="F38" s="3">
        <v>28.701369863013699</v>
      </c>
    </row>
    <row r="39" spans="1:6" x14ac:dyDescent="0.25">
      <c r="A39" t="s">
        <v>56</v>
      </c>
      <c r="B39" t="s">
        <v>10</v>
      </c>
      <c r="C39" t="s">
        <v>24</v>
      </c>
      <c r="D39" s="2">
        <v>58935.92</v>
      </c>
      <c r="E39" s="1">
        <v>35317</v>
      </c>
      <c r="F39" s="3">
        <v>28.950684931506849</v>
      </c>
    </row>
    <row r="40" spans="1:6" x14ac:dyDescent="0.25">
      <c r="A40" t="s">
        <v>57</v>
      </c>
      <c r="B40" t="s">
        <v>10</v>
      </c>
      <c r="C40" t="s">
        <v>24</v>
      </c>
      <c r="D40" s="2">
        <v>63555.73</v>
      </c>
      <c r="E40" s="1">
        <v>29914</v>
      </c>
      <c r="F40" s="3">
        <v>43.753424657534246</v>
      </c>
    </row>
    <row r="41" spans="1:6" x14ac:dyDescent="0.25">
      <c r="A41" t="s">
        <v>58</v>
      </c>
      <c r="B41" t="s">
        <v>7</v>
      </c>
      <c r="C41" t="s">
        <v>32</v>
      </c>
      <c r="D41" s="2">
        <v>57419.35</v>
      </c>
      <c r="E41" s="1">
        <v>33809</v>
      </c>
      <c r="F41" s="3">
        <v>33.082191780821915</v>
      </c>
    </row>
    <row r="42" spans="1:6" x14ac:dyDescent="0.25">
      <c r="A42" t="s">
        <v>59</v>
      </c>
      <c r="B42" t="s">
        <v>10</v>
      </c>
      <c r="C42" t="s">
        <v>8</v>
      </c>
      <c r="D42" s="2">
        <v>44403.77</v>
      </c>
      <c r="E42" s="1">
        <v>33920</v>
      </c>
      <c r="F42" s="3">
        <v>32.778082191780825</v>
      </c>
    </row>
  </sheetData>
  <mergeCells count="1">
    <mergeCell ref="M7:Q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2025-08-15T10:23:05Z</dcterms:created>
  <dcterms:modified xsi:type="dcterms:W3CDTF">2025-08-15T11:10:11Z</dcterms:modified>
</cp:coreProperties>
</file>