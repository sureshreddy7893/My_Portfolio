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4. Using Formulas\"/>
    </mc:Choice>
  </mc:AlternateContent>
  <xr:revisionPtr revIDLastSave="0" documentId="13_ncr:1_{D46F8A8A-A512-49D7-843F-551E1F3A2C19}" xr6:coauthVersionLast="47" xr6:coauthVersionMax="47" xr10:uidLastSave="{00000000-0000-0000-0000-000000000000}"/>
  <bookViews>
    <workbookView xWindow="-120" yWindow="-120" windowWidth="20730" windowHeight="11760" xr2:uid="{B10B7985-5413-42FD-8A56-AD32C0689850}"/>
  </bookViews>
  <sheets>
    <sheet name="Work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" i="1" l="1"/>
  <c r="I46" i="1"/>
  <c r="I50" i="1"/>
  <c r="I42" i="1"/>
  <c r="I41" i="1"/>
  <c r="I40" i="1"/>
  <c r="N24" i="1"/>
  <c r="N25" i="1"/>
  <c r="N26" i="1"/>
  <c r="N27" i="1"/>
  <c r="N28" i="1"/>
  <c r="N29" i="1"/>
  <c r="N30" i="1"/>
  <c r="N31" i="1"/>
  <c r="N32" i="1"/>
  <c r="N33" i="1"/>
  <c r="N34" i="1"/>
  <c r="N23" i="1"/>
  <c r="L23" i="1"/>
  <c r="L24" i="1"/>
  <c r="L25" i="1"/>
  <c r="L26" i="1"/>
  <c r="L27" i="1"/>
  <c r="L28" i="1"/>
  <c r="L29" i="1"/>
  <c r="L30" i="1"/>
  <c r="L31" i="1"/>
  <c r="L32" i="1"/>
  <c r="L33" i="1"/>
  <c r="L34" i="1"/>
  <c r="M24" i="1"/>
  <c r="M25" i="1"/>
  <c r="M26" i="1"/>
  <c r="M27" i="1"/>
  <c r="M28" i="1"/>
  <c r="M29" i="1"/>
  <c r="M30" i="1"/>
  <c r="M31" i="1"/>
  <c r="M32" i="1"/>
  <c r="M33" i="1"/>
  <c r="M34" i="1"/>
  <c r="M23" i="1"/>
  <c r="K23" i="1"/>
  <c r="K25" i="1"/>
  <c r="K24" i="1"/>
  <c r="K26" i="1"/>
  <c r="K27" i="1"/>
  <c r="K28" i="1"/>
  <c r="K29" i="1"/>
  <c r="K30" i="1"/>
  <c r="K31" i="1"/>
  <c r="K32" i="1"/>
  <c r="K33" i="1"/>
  <c r="K34" i="1"/>
  <c r="F2" i="1"/>
  <c r="L17" i="1"/>
  <c r="L18" i="1"/>
  <c r="L19" i="1"/>
  <c r="L20" i="1"/>
  <c r="L16" i="1"/>
  <c r="I17" i="1"/>
  <c r="I18" i="1"/>
  <c r="I19" i="1"/>
  <c r="I20" i="1"/>
  <c r="I16" i="1"/>
  <c r="M9" i="1"/>
  <c r="M10" i="1"/>
  <c r="M11" i="1"/>
  <c r="M12" i="1"/>
  <c r="M8" i="1"/>
  <c r="L9" i="1"/>
  <c r="L10" i="1"/>
  <c r="L11" i="1"/>
  <c r="L12" i="1"/>
  <c r="L8" i="1"/>
  <c r="K10" i="1"/>
  <c r="K11" i="1"/>
  <c r="K12" i="1"/>
  <c r="K9" i="1"/>
  <c r="K8" i="1"/>
  <c r="K7" i="1"/>
  <c r="K6" i="1"/>
  <c r="K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</calcChain>
</file>

<file path=xl/sharedStrings.xml><?xml version="1.0" encoding="utf-8"?>
<sst xmlns="http://schemas.openxmlformats.org/spreadsheetml/2006/main" count="171" uniqueCount="79">
  <si>
    <t>Name</t>
  </si>
  <si>
    <t>Gender</t>
  </si>
  <si>
    <t>Department</t>
  </si>
  <si>
    <t>Salary</t>
  </si>
  <si>
    <t>DateOfBirth</t>
  </si>
  <si>
    <t>Age</t>
  </si>
  <si>
    <t>Minerva Ricardot</t>
  </si>
  <si>
    <t>Male</t>
  </si>
  <si>
    <t>Oona Donan</t>
  </si>
  <si>
    <t>Female</t>
  </si>
  <si>
    <t>Business Development</t>
  </si>
  <si>
    <t>Mick Spraberry</t>
  </si>
  <si>
    <t>Services</t>
  </si>
  <si>
    <t>Mackenzie Hannis</t>
  </si>
  <si>
    <t>Training</t>
  </si>
  <si>
    <t>Jessica Callcott</t>
  </si>
  <si>
    <t>Marketing</t>
  </si>
  <si>
    <t xml:space="preserve"> Leena Bruckshaw</t>
  </si>
  <si>
    <t>Research and Development</t>
  </si>
  <si>
    <t>Billi Fellgate</t>
  </si>
  <si>
    <t xml:space="preserve">Cletus McGarahan </t>
  </si>
  <si>
    <t>Engineering</t>
  </si>
  <si>
    <t xml:space="preserve"> Wyn Treadger</t>
  </si>
  <si>
    <t>Evangelina Lergan</t>
  </si>
  <si>
    <t>Support</t>
  </si>
  <si>
    <t>Verla Timmis</t>
  </si>
  <si>
    <t>Devinne Tuny</t>
  </si>
  <si>
    <t>Pearla  Beteriss</t>
  </si>
  <si>
    <t>Maritsa Marusic</t>
  </si>
  <si>
    <t>Daisie McNeice</t>
  </si>
  <si>
    <t>Human Resources</t>
  </si>
  <si>
    <t xml:space="preserve"> Jill Shipsey</t>
  </si>
  <si>
    <t>Accounting</t>
  </si>
  <si>
    <t>Myrle Prandoni</t>
  </si>
  <si>
    <t>Sales</t>
  </si>
  <si>
    <t>Seward Kubera</t>
  </si>
  <si>
    <t>Dean Biggam</t>
  </si>
  <si>
    <t>Daisie Dahlman</t>
  </si>
  <si>
    <t>Danica Nayshe</t>
  </si>
  <si>
    <t>Althea  Bronger</t>
  </si>
  <si>
    <t>Product Management</t>
  </si>
  <si>
    <t>Leonidas Cavaney</t>
  </si>
  <si>
    <t>Dennison Crosswaite</t>
  </si>
  <si>
    <t>Legal</t>
  </si>
  <si>
    <t>Aldrich  Glenny</t>
  </si>
  <si>
    <t>Yvette  Bett</t>
  </si>
  <si>
    <t>Renaldo Thomassin</t>
  </si>
  <si>
    <t>Genevra Friday</t>
  </si>
  <si>
    <t>Thekla Lynnett</t>
  </si>
  <si>
    <t>Westbrook Brandino</t>
  </si>
  <si>
    <t xml:space="preserve">Shaylyn Ransbury </t>
  </si>
  <si>
    <t>Grady Rochelle</t>
  </si>
  <si>
    <t>Shellysheldon Mahady</t>
  </si>
  <si>
    <t>Riccardo Hagan</t>
  </si>
  <si>
    <t>Ginger  Myott</t>
  </si>
  <si>
    <t>Aileen McCritchie</t>
  </si>
  <si>
    <t>Oby Sorrel</t>
  </si>
  <si>
    <t>Lincoln Cord</t>
  </si>
  <si>
    <t>Tabby  Astall</t>
  </si>
  <si>
    <t>Julietta Culross</t>
  </si>
  <si>
    <t>MIN</t>
  </si>
  <si>
    <t>MAX</t>
  </si>
  <si>
    <t>Median</t>
  </si>
  <si>
    <t>Quantile</t>
  </si>
  <si>
    <t>Top 5</t>
  </si>
  <si>
    <t>Bottum 5</t>
  </si>
  <si>
    <t>(TODAY()-E2)/365</t>
  </si>
  <si>
    <t>Age Calculator</t>
  </si>
  <si>
    <t>Male_Count</t>
  </si>
  <si>
    <t>Male_Salary</t>
  </si>
  <si>
    <t>Female_Count</t>
  </si>
  <si>
    <t>Female_Salary</t>
  </si>
  <si>
    <t>** Finding Gender, Department, Salary based on Name</t>
  </si>
  <si>
    <t>** Finding Name with Minimum Salary</t>
  </si>
  <si>
    <t>** Finding Name with Maximum Salary</t>
  </si>
  <si>
    <t>** Finding Top and Bottum Salaries</t>
  </si>
  <si>
    <t>Short_Byte_Concept</t>
  </si>
  <si>
    <t>Count</t>
  </si>
  <si>
    <t>** Count Name starts with "S"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</si>
</sst>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5" borderId="0" xfId="0" applyFill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4" borderId="3" xfId="0" applyFill="1" applyBorder="1"/>
    <xf numFmtId="0" fontId="0" fillId="5" borderId="1" xfId="0" applyFill="1" applyBorder="1"/>
    <xf numFmtId="0" fontId="0" fillId="6" borderId="1" xfId="0" applyFill="1" applyBorder="1"/>
    <xf numFmtId="9" fontId="0" fillId="3" borderId="1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7" xfId="0" applyFont="1" applyFill="1" applyBorder="1"/>
    <xf numFmtId="0" fontId="0" fillId="3" borderId="1" xfId="0" applyFill="1" applyBorder="1" applyAlignment="1">
      <alignment horizontal="left"/>
    </xf>
    <xf numFmtId="0" fontId="0" fillId="7" borderId="1" xfId="0" applyFill="1" applyBorder="1"/>
    <xf numFmtId="0" fontId="0" fillId="8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5" borderId="1" xfId="0" applyFill="1" applyBorder="1" applyAlignment="1">
      <alignment horizontal="left"/>
    </xf>
    <xf numFmtId="0" fontId="0" fillId="4" borderId="2" xfId="0" applyFill="1" applyBorder="1"/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E66CD-4BD4-4172-A7FD-D3BF669DADBE}" name="Table1" displayName="Table1" ref="A1:F42" totalsRowShown="0">
  <autoFilter ref="A1:F42" xr:uid="{D2CE66CD-4BD4-4172-A7FD-D3BF669DADBE}"/>
  <tableColumns count="6">
    <tableColumn id="1" xr3:uid="{E9FE7054-8511-4F54-8D4D-1B67F733B13A}" name="Name"/>
    <tableColumn id="2" xr3:uid="{1AA79DF8-0812-4938-AB04-872C1FC585CD}" name="Gender"/>
    <tableColumn id="3" xr3:uid="{059B77AB-DD0C-4A03-9D2A-408EC3927CE7}" name="Department"/>
    <tableColumn id="4" xr3:uid="{2276AF2A-EFD1-4E87-AD46-2708C77DEA6A}" name="Salary"/>
    <tableColumn id="5" xr3:uid="{CB2E8CD1-ADAD-41D4-9C92-AAFADC05C900}" name="DateOfBirth" dataDxfId="13"/>
    <tableColumn id="6" xr3:uid="{132F9C33-8A76-486B-9A38-3F4CDBC5E4DE}" name="Age" dataDxfId="12">
      <calculatedColumnFormula>(TODAY()-E2)/365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4CBCE0-58C8-4584-A6DB-145837EB4729}" name="Table2" displayName="Table2" ref="H15:I20" totalsRowShown="0" headerRowDxfId="6" headerRowBorderDxfId="10" tableBorderDxfId="11" totalsRowBorderDxfId="9">
  <autoFilter ref="H15:I20" xr:uid="{EE4CBCE0-58C8-4584-A6DB-145837EB4729}"/>
  <tableColumns count="2">
    <tableColumn id="1" xr3:uid="{18A0992E-2E02-45B5-A6BF-6B50F5DF73B8}" name="Top 5" dataDxfId="8"/>
    <tableColumn id="2" xr3:uid="{DB90E021-8C03-4DB6-B5DF-38A568A89B99}" name="Salary" dataDxfId="7">
      <calculatedColumnFormula>LARGE(Table1[Salary],H16)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C53500-AA3C-46B8-9360-905DEC1FC442}" name="Table3" displayName="Table3" ref="K15:L20" totalsRowShown="0" headerRowDxfId="0" headerRowBorderDxfId="4" tableBorderDxfId="5" totalsRowBorderDxfId="3">
  <autoFilter ref="K15:L20" xr:uid="{89C53500-AA3C-46B8-9360-905DEC1FC442}"/>
  <tableColumns count="2">
    <tableColumn id="1" xr3:uid="{340468FB-5C74-4010-B46E-EC9ED809849B}" name="Bottum 5" dataDxfId="2"/>
    <tableColumn id="2" xr3:uid="{CB161767-EC5D-4722-BFCD-F3A17214FDA1}" name="Salary" dataDxfId="1">
      <calculatedColumnFormula>SMALL(Table1[Salary],K16)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5F49-9A3F-4898-BC96-0B0E5167D83B}">
  <dimension ref="A1:N54"/>
  <sheetViews>
    <sheetView tabSelected="1" topLeftCell="A16" workbookViewId="0">
      <selection activeCell="C52" sqref="C52"/>
    </sheetView>
  </sheetViews>
  <sheetFormatPr defaultRowHeight="15" x14ac:dyDescent="0.25"/>
  <cols>
    <col min="1" max="1" width="21.42578125" bestFit="1" customWidth="1"/>
    <col min="2" max="2" width="10" bestFit="1" customWidth="1"/>
    <col min="3" max="3" width="25.85546875" bestFit="1" customWidth="1"/>
    <col min="4" max="4" width="10" bestFit="1" customWidth="1"/>
    <col min="5" max="5" width="13.85546875" bestFit="1" customWidth="1"/>
    <col min="6" max="6" width="6.7109375" bestFit="1" customWidth="1"/>
    <col min="8" max="8" width="11.7109375" bestFit="1" customWidth="1"/>
    <col min="9" max="9" width="21.42578125" bestFit="1" customWidth="1"/>
    <col min="10" max="10" width="5.5703125" bestFit="1" customWidth="1"/>
    <col min="11" max="12" width="11.7109375" bestFit="1" customWidth="1"/>
    <col min="13" max="14" width="14" bestFit="1" customWidth="1"/>
    <col min="15" max="15" width="16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25">
      <c r="A2" t="s">
        <v>6</v>
      </c>
      <c r="B2" t="s">
        <v>7</v>
      </c>
      <c r="C2" t="s">
        <v>12</v>
      </c>
      <c r="D2">
        <v>105468.7</v>
      </c>
      <c r="E2" s="1">
        <v>33920</v>
      </c>
      <c r="F2" s="2">
        <f ca="1">(TODAY()-E2)/365</f>
        <v>32.778082191780825</v>
      </c>
      <c r="I2" s="5" t="s">
        <v>67</v>
      </c>
    </row>
    <row r="3" spans="1:14" x14ac:dyDescent="0.25">
      <c r="A3" t="s">
        <v>8</v>
      </c>
      <c r="B3" t="s">
        <v>9</v>
      </c>
      <c r="C3" t="s">
        <v>10</v>
      </c>
      <c r="D3">
        <v>88360.79</v>
      </c>
      <c r="E3" s="1">
        <v>35310</v>
      </c>
      <c r="F3" s="2">
        <f t="shared" ref="F3:F42" ca="1" si="0">(TODAY()-E3)/365</f>
        <v>28.969863013698632</v>
      </c>
      <c r="I3" s="4" t="s">
        <v>66</v>
      </c>
    </row>
    <row r="4" spans="1:14" x14ac:dyDescent="0.25">
      <c r="A4" t="s">
        <v>11</v>
      </c>
      <c r="B4" t="s">
        <v>9</v>
      </c>
      <c r="C4" t="s">
        <v>12</v>
      </c>
      <c r="D4">
        <v>85879.23</v>
      </c>
      <c r="E4" s="1">
        <v>29657</v>
      </c>
      <c r="F4" s="2">
        <f t="shared" ca="1" si="0"/>
        <v>44.457534246575342</v>
      </c>
      <c r="K4" s="34" t="s">
        <v>76</v>
      </c>
      <c r="L4" s="35"/>
      <c r="M4" s="35"/>
      <c r="N4" s="35"/>
    </row>
    <row r="5" spans="1:14" x14ac:dyDescent="0.25">
      <c r="A5" t="s">
        <v>13</v>
      </c>
      <c r="B5" t="s">
        <v>9</v>
      </c>
      <c r="C5" t="s">
        <v>14</v>
      </c>
      <c r="D5">
        <v>57002.02</v>
      </c>
      <c r="E5" s="1">
        <v>33696</v>
      </c>
      <c r="F5" s="2">
        <f t="shared" ca="1" si="0"/>
        <v>33.391780821917806</v>
      </c>
      <c r="I5" s="8" t="s">
        <v>60</v>
      </c>
      <c r="J5" s="8"/>
      <c r="K5" s="27">
        <f>MIN(Table1[Salary])</f>
        <v>31172.77</v>
      </c>
    </row>
    <row r="6" spans="1:14" x14ac:dyDescent="0.25">
      <c r="A6" t="s">
        <v>15</v>
      </c>
      <c r="B6" t="s">
        <v>9</v>
      </c>
      <c r="C6" t="s">
        <v>16</v>
      </c>
      <c r="D6">
        <v>66017.179999999993</v>
      </c>
      <c r="E6" s="1">
        <v>35243</v>
      </c>
      <c r="F6" s="2">
        <f t="shared" ca="1" si="0"/>
        <v>29.153424657534245</v>
      </c>
      <c r="I6" s="8" t="s">
        <v>61</v>
      </c>
      <c r="J6" s="8"/>
      <c r="K6" s="9">
        <f>MAX(Table1[Salary])</f>
        <v>114691.03</v>
      </c>
    </row>
    <row r="7" spans="1:14" x14ac:dyDescent="0.25">
      <c r="A7" t="s">
        <v>17</v>
      </c>
      <c r="B7" t="s">
        <v>7</v>
      </c>
      <c r="C7" t="s">
        <v>18</v>
      </c>
      <c r="D7">
        <v>74279.009999999995</v>
      </c>
      <c r="E7" s="1">
        <v>35065</v>
      </c>
      <c r="F7" s="2">
        <f t="shared" ca="1" si="0"/>
        <v>29.641095890410959</v>
      </c>
      <c r="I7" s="8" t="s">
        <v>62</v>
      </c>
      <c r="J7" s="8"/>
      <c r="K7" s="10">
        <f>MEDIAN(Table1[Salary])</f>
        <v>68980.52</v>
      </c>
    </row>
    <row r="8" spans="1:14" x14ac:dyDescent="0.25">
      <c r="A8" t="s">
        <v>19</v>
      </c>
      <c r="B8" t="s">
        <v>9</v>
      </c>
      <c r="C8" t="s">
        <v>10</v>
      </c>
      <c r="D8">
        <v>68980.52</v>
      </c>
      <c r="E8" s="1">
        <v>35093</v>
      </c>
      <c r="F8" s="2">
        <f t="shared" ca="1" si="0"/>
        <v>29.564383561643837</v>
      </c>
      <c r="I8" s="7" t="s">
        <v>63</v>
      </c>
      <c r="J8" s="13">
        <v>0</v>
      </c>
      <c r="K8" s="9" t="e">
        <f>_xlfn.PERCENTILE.EXC(Table1[Salary],J8)</f>
        <v>#NUM!</v>
      </c>
      <c r="L8" s="11">
        <f>_xlfn.PERCENTILE.INC(Table1[Salary],J8)</f>
        <v>31172.77</v>
      </c>
      <c r="M8" s="12">
        <f>PERCENTILE(Table1[Salary],J8)</f>
        <v>31172.77</v>
      </c>
    </row>
    <row r="9" spans="1:14" x14ac:dyDescent="0.25">
      <c r="A9" t="s">
        <v>20</v>
      </c>
      <c r="B9" t="s">
        <v>9</v>
      </c>
      <c r="C9" t="s">
        <v>21</v>
      </c>
      <c r="D9">
        <v>114425.19</v>
      </c>
      <c r="E9" s="1">
        <v>29613</v>
      </c>
      <c r="F9" s="2">
        <f t="shared" ca="1" si="0"/>
        <v>44.578082191780823</v>
      </c>
      <c r="I9" s="6"/>
      <c r="J9" s="13">
        <v>0.25</v>
      </c>
      <c r="K9" s="9">
        <f>_xlfn.PERCENTILE.EXC(Table1[Salary],J9)</f>
        <v>53949.26</v>
      </c>
      <c r="L9" s="11">
        <f>_xlfn.PERCENTILE.INC(Table1[Salary],J9)</f>
        <v>53949.26</v>
      </c>
      <c r="M9" s="12">
        <f>PERCENTILE(Table1[Salary],J9)</f>
        <v>53949.26</v>
      </c>
    </row>
    <row r="10" spans="1:14" x14ac:dyDescent="0.25">
      <c r="A10" t="s">
        <v>22</v>
      </c>
      <c r="B10" t="s">
        <v>9</v>
      </c>
      <c r="C10" t="s">
        <v>10</v>
      </c>
      <c r="D10">
        <v>69192.850000000006</v>
      </c>
      <c r="E10" s="1">
        <v>39557</v>
      </c>
      <c r="F10" s="2">
        <f t="shared" ca="1" si="0"/>
        <v>17.334246575342465</v>
      </c>
      <c r="I10" s="6"/>
      <c r="J10" s="13">
        <v>0.5</v>
      </c>
      <c r="K10" s="9">
        <f>_xlfn.PERCENTILE.EXC(Table1[Salary],J10)</f>
        <v>68980.52</v>
      </c>
      <c r="L10" s="11">
        <f>_xlfn.PERCENTILE.INC(Table1[Salary],J10)</f>
        <v>68980.52</v>
      </c>
      <c r="M10" s="12">
        <f>PERCENTILE(Table1[Salary],J10)</f>
        <v>68980.52</v>
      </c>
    </row>
    <row r="11" spans="1:14" x14ac:dyDescent="0.25">
      <c r="A11" t="s">
        <v>23</v>
      </c>
      <c r="B11" t="s">
        <v>7</v>
      </c>
      <c r="C11" t="s">
        <v>24</v>
      </c>
      <c r="D11">
        <v>61214.26</v>
      </c>
      <c r="E11" s="1">
        <v>33675</v>
      </c>
      <c r="F11" s="2">
        <f t="shared" ca="1" si="0"/>
        <v>33.449315068493149</v>
      </c>
      <c r="I11" s="6"/>
      <c r="J11" s="13">
        <v>0.75</v>
      </c>
      <c r="K11" s="9">
        <f>_xlfn.PERCENTILE.EXC(Table1[Salary],J11)</f>
        <v>87458.875</v>
      </c>
      <c r="L11" s="11">
        <f>_xlfn.PERCENTILE.INC(Table1[Salary],J11)</f>
        <v>86556.96</v>
      </c>
      <c r="M11" s="12">
        <f>PERCENTILE(Table1[Salary],J11)</f>
        <v>86556.96</v>
      </c>
    </row>
    <row r="12" spans="1:14" x14ac:dyDescent="0.25">
      <c r="A12" t="s">
        <v>25</v>
      </c>
      <c r="B12" t="s">
        <v>7</v>
      </c>
      <c r="C12" t="s">
        <v>24</v>
      </c>
      <c r="D12">
        <v>54137.05</v>
      </c>
      <c r="E12" s="1">
        <v>35363</v>
      </c>
      <c r="F12" s="2">
        <f t="shared" ca="1" si="0"/>
        <v>28.824657534246576</v>
      </c>
      <c r="I12" s="6"/>
      <c r="J12" s="13">
        <v>1</v>
      </c>
      <c r="K12" s="9" t="e">
        <f>_xlfn.PERCENTILE.EXC(Table1[Salary],J12)</f>
        <v>#NUM!</v>
      </c>
      <c r="L12" s="11">
        <f>_xlfn.PERCENTILE.INC(Table1[Salary],J12)</f>
        <v>114691.03</v>
      </c>
      <c r="M12" s="12">
        <f>PERCENTILE(Table1[Salary],J12)</f>
        <v>114691.03</v>
      </c>
    </row>
    <row r="13" spans="1:14" x14ac:dyDescent="0.25">
      <c r="A13" t="s">
        <v>26</v>
      </c>
      <c r="B13" t="s">
        <v>7</v>
      </c>
      <c r="C13" t="s">
        <v>21</v>
      </c>
      <c r="D13">
        <v>39969.72</v>
      </c>
      <c r="E13" s="1">
        <v>33948</v>
      </c>
      <c r="F13" s="2">
        <f t="shared" ca="1" si="0"/>
        <v>32.701369863013696</v>
      </c>
    </row>
    <row r="14" spans="1:14" x14ac:dyDescent="0.25">
      <c r="A14" t="s">
        <v>27</v>
      </c>
      <c r="B14" t="s">
        <v>7</v>
      </c>
      <c r="C14" t="s">
        <v>12</v>
      </c>
      <c r="D14">
        <v>69913.39</v>
      </c>
      <c r="E14" s="1">
        <v>35184</v>
      </c>
      <c r="F14" s="2">
        <f t="shared" ca="1" si="0"/>
        <v>29.315068493150687</v>
      </c>
      <c r="H14" s="29" t="s">
        <v>75</v>
      </c>
      <c r="I14" s="30"/>
      <c r="J14" s="30"/>
      <c r="K14" s="30"/>
      <c r="L14" s="31"/>
    </row>
    <row r="15" spans="1:14" x14ac:dyDescent="0.25">
      <c r="A15" t="s">
        <v>28</v>
      </c>
      <c r="B15" t="s">
        <v>7</v>
      </c>
      <c r="C15" t="s">
        <v>18</v>
      </c>
      <c r="D15">
        <v>52748.63</v>
      </c>
      <c r="E15" s="1">
        <v>29613</v>
      </c>
      <c r="F15" s="2">
        <f t="shared" ca="1" si="0"/>
        <v>44.578082191780823</v>
      </c>
      <c r="H15" s="14" t="s">
        <v>64</v>
      </c>
      <c r="I15" s="15" t="s">
        <v>3</v>
      </c>
      <c r="K15" s="14" t="s">
        <v>65</v>
      </c>
      <c r="L15" s="15" t="s">
        <v>3</v>
      </c>
    </row>
    <row r="16" spans="1:14" x14ac:dyDescent="0.25">
      <c r="A16" t="s">
        <v>29</v>
      </c>
      <c r="B16" t="s">
        <v>7</v>
      </c>
      <c r="C16" t="s">
        <v>30</v>
      </c>
      <c r="D16">
        <v>50310.09</v>
      </c>
      <c r="E16" s="1">
        <v>36980</v>
      </c>
      <c r="F16" s="2">
        <f t="shared" ca="1" si="0"/>
        <v>24.394520547945206</v>
      </c>
      <c r="H16" s="16">
        <v>1</v>
      </c>
      <c r="I16" s="17">
        <f>LARGE(Table1[Salary],H16)</f>
        <v>114691.03</v>
      </c>
      <c r="K16" s="16">
        <v>1</v>
      </c>
      <c r="L16" s="17">
        <f>SMALL(Table1[Salary],K16)</f>
        <v>31172.77</v>
      </c>
    </row>
    <row r="17" spans="1:14" x14ac:dyDescent="0.25">
      <c r="A17" t="s">
        <v>31</v>
      </c>
      <c r="B17" t="s">
        <v>7</v>
      </c>
      <c r="C17" t="s">
        <v>32</v>
      </c>
      <c r="D17">
        <v>52963.65</v>
      </c>
      <c r="E17" s="1">
        <v>37348</v>
      </c>
      <c r="F17" s="2">
        <f t="shared" ca="1" si="0"/>
        <v>23.386301369863013</v>
      </c>
      <c r="H17" s="16">
        <v>2</v>
      </c>
      <c r="I17" s="17">
        <f>LARGE(Table1[Salary],H17)</f>
        <v>114425.19</v>
      </c>
      <c r="K17" s="16">
        <v>2</v>
      </c>
      <c r="L17" s="17">
        <f>SMALL(Table1[Salary],K17)</f>
        <v>39969.72</v>
      </c>
    </row>
    <row r="18" spans="1:14" x14ac:dyDescent="0.25">
      <c r="A18" t="s">
        <v>33</v>
      </c>
      <c r="B18" t="s">
        <v>7</v>
      </c>
      <c r="C18" t="s">
        <v>34</v>
      </c>
      <c r="D18">
        <v>62195.47</v>
      </c>
      <c r="E18" s="1">
        <v>38955</v>
      </c>
      <c r="F18" s="2">
        <f t="shared" ca="1" si="0"/>
        <v>18.983561643835618</v>
      </c>
      <c r="H18" s="16">
        <v>3</v>
      </c>
      <c r="I18" s="17">
        <f>LARGE(Table1[Salary],H18)</f>
        <v>113616.23</v>
      </c>
      <c r="K18" s="16">
        <v>3</v>
      </c>
      <c r="L18" s="17">
        <f>SMALL(Table1[Salary],K18)</f>
        <v>43329.22</v>
      </c>
    </row>
    <row r="19" spans="1:14" x14ac:dyDescent="0.25">
      <c r="A19" t="s">
        <v>35</v>
      </c>
      <c r="B19" t="s">
        <v>7</v>
      </c>
      <c r="C19" t="s">
        <v>21</v>
      </c>
      <c r="D19">
        <v>43329.22</v>
      </c>
      <c r="E19" s="1">
        <v>35409</v>
      </c>
      <c r="F19" s="2">
        <f t="shared" ca="1" si="0"/>
        <v>28.698630136986303</v>
      </c>
      <c r="H19" s="16">
        <v>4</v>
      </c>
      <c r="I19" s="17">
        <f>LARGE(Table1[Salary],H19)</f>
        <v>105468.7</v>
      </c>
      <c r="K19" s="16">
        <v>4</v>
      </c>
      <c r="L19" s="17">
        <f>SMALL(Table1[Salary],K19)</f>
        <v>44403.77</v>
      </c>
    </row>
    <row r="20" spans="1:14" x14ac:dyDescent="0.25">
      <c r="A20" t="s">
        <v>36</v>
      </c>
      <c r="B20" t="s">
        <v>9</v>
      </c>
      <c r="C20" t="s">
        <v>14</v>
      </c>
      <c r="D20">
        <v>71570.990000000005</v>
      </c>
      <c r="E20" s="1">
        <v>36578</v>
      </c>
      <c r="F20" s="2">
        <f t="shared" ca="1" si="0"/>
        <v>25.495890410958904</v>
      </c>
      <c r="H20" s="18">
        <v>5</v>
      </c>
      <c r="I20" s="19">
        <f>LARGE(Table1[Salary],H20)</f>
        <v>104335.03999999999</v>
      </c>
      <c r="K20" s="18">
        <v>5</v>
      </c>
      <c r="L20" s="19">
        <f>SMALL(Table1[Salary],K20)</f>
        <v>50310.09</v>
      </c>
    </row>
    <row r="21" spans="1:14" x14ac:dyDescent="0.25">
      <c r="A21" t="s">
        <v>37</v>
      </c>
      <c r="B21" t="s">
        <v>9</v>
      </c>
      <c r="C21" t="s">
        <v>30</v>
      </c>
      <c r="D21">
        <v>61994.76</v>
      </c>
      <c r="E21" s="1">
        <v>35394</v>
      </c>
      <c r="F21" s="2">
        <f t="shared" ca="1" si="0"/>
        <v>28.739726027397261</v>
      </c>
    </row>
    <row r="22" spans="1:14" x14ac:dyDescent="0.25">
      <c r="A22" t="s">
        <v>38</v>
      </c>
      <c r="B22" t="s">
        <v>9</v>
      </c>
      <c r="C22" t="s">
        <v>12</v>
      </c>
      <c r="D22">
        <v>89690.38</v>
      </c>
      <c r="E22" s="1">
        <v>33710</v>
      </c>
      <c r="F22" s="2">
        <f t="shared" ca="1" si="0"/>
        <v>33.353424657534248</v>
      </c>
      <c r="H22" s="3"/>
      <c r="I22" s="3"/>
      <c r="J22" s="3"/>
      <c r="K22" s="25" t="s">
        <v>68</v>
      </c>
      <c r="L22" s="25" t="s">
        <v>69</v>
      </c>
      <c r="M22" s="25" t="s">
        <v>70</v>
      </c>
      <c r="N22" s="25" t="s">
        <v>71</v>
      </c>
    </row>
    <row r="23" spans="1:14" x14ac:dyDescent="0.25">
      <c r="A23" t="s">
        <v>39</v>
      </c>
      <c r="B23" t="s">
        <v>7</v>
      </c>
      <c r="C23" t="s">
        <v>40</v>
      </c>
      <c r="D23">
        <v>104335.03999999999</v>
      </c>
      <c r="E23" s="1">
        <v>29630</v>
      </c>
      <c r="F23" s="2">
        <f t="shared" ca="1" si="0"/>
        <v>44.531506849315072</v>
      </c>
      <c r="H23" s="20" t="s">
        <v>7</v>
      </c>
      <c r="I23" s="21" t="s">
        <v>12</v>
      </c>
      <c r="J23" s="21"/>
      <c r="K23" s="22">
        <f>COUNTIFS(Table1[Gender],$H$23,Table1[Department],I23)</f>
        <v>2</v>
      </c>
      <c r="L23" s="22">
        <f>SUMIFS(Table1[Salary],Table1[Gender],$H$23,Table1[Department],I23)</f>
        <v>175382.09</v>
      </c>
      <c r="M23" s="23">
        <f>COUNTIFS(Table1[Gender],$H$24,Table1[Department],I23)</f>
        <v>4</v>
      </c>
      <c r="N23" s="23">
        <f>SUMIFS(Table1[Salary],Table1[Gender],$H$24,Table1[Department],I23)</f>
        <v>251146.14999999997</v>
      </c>
    </row>
    <row r="24" spans="1:14" x14ac:dyDescent="0.25">
      <c r="A24" t="s">
        <v>41</v>
      </c>
      <c r="B24" t="s">
        <v>7</v>
      </c>
      <c r="C24" t="s">
        <v>32</v>
      </c>
      <c r="D24">
        <v>52246.29</v>
      </c>
      <c r="E24" s="1">
        <v>35173</v>
      </c>
      <c r="F24" s="2">
        <f t="shared" ca="1" si="0"/>
        <v>29.345205479452055</v>
      </c>
      <c r="H24" s="20" t="s">
        <v>9</v>
      </c>
      <c r="I24" s="21" t="s">
        <v>14</v>
      </c>
      <c r="J24" s="21"/>
      <c r="K24" s="22">
        <f>COUNTIFS(Table1[Gender],$H$23,Table1[Department],I24)</f>
        <v>3</v>
      </c>
      <c r="L24" s="22">
        <f>SUMIFS(Table1[Salary],Table1[Gender],$H$23,Table1[Department],I24)</f>
        <v>222589.55000000002</v>
      </c>
      <c r="M24" s="23">
        <f>COUNTIFS(Table1[Gender],$H$24,Table1[Department],I24)</f>
        <v>2</v>
      </c>
      <c r="N24" s="23">
        <f>SUMIFS(Table1[Salary],Table1[Gender],$H$24,Table1[Department],I24)</f>
        <v>128573.01000000001</v>
      </c>
    </row>
    <row r="25" spans="1:14" x14ac:dyDescent="0.25">
      <c r="A25" t="s">
        <v>42</v>
      </c>
      <c r="B25" t="s">
        <v>7</v>
      </c>
      <c r="C25" t="s">
        <v>43</v>
      </c>
      <c r="D25">
        <v>90697.67</v>
      </c>
      <c r="E25" s="1">
        <v>36185</v>
      </c>
      <c r="F25" s="2">
        <f t="shared" ca="1" si="0"/>
        <v>26.572602739726026</v>
      </c>
      <c r="H25" s="3"/>
      <c r="I25" s="24" t="s">
        <v>16</v>
      </c>
      <c r="J25" s="24"/>
      <c r="K25" s="22">
        <f>COUNTIFS(Table1[Gender],$H$23,Table1[Department],I25)</f>
        <v>0</v>
      </c>
      <c r="L25" s="22">
        <f>SUMIFS(Table1[Salary],Table1[Gender],$H$23,Table1[Department],I25)</f>
        <v>0</v>
      </c>
      <c r="M25" s="23">
        <f>COUNTIFS(Table1[Gender],$H$24,Table1[Department],I25)</f>
        <v>1</v>
      </c>
      <c r="N25" s="23">
        <f>SUMIFS(Table1[Salary],Table1[Gender],$H$24,Table1[Department],I25)</f>
        <v>66017.179999999993</v>
      </c>
    </row>
    <row r="26" spans="1:14" x14ac:dyDescent="0.25">
      <c r="A26" t="s">
        <v>44</v>
      </c>
      <c r="B26" t="s">
        <v>7</v>
      </c>
      <c r="C26" t="s">
        <v>10</v>
      </c>
      <c r="D26">
        <v>90884.32</v>
      </c>
      <c r="E26" s="1">
        <v>35426</v>
      </c>
      <c r="F26" s="2">
        <f t="shared" ca="1" si="0"/>
        <v>28.652054794520549</v>
      </c>
      <c r="H26" s="3"/>
      <c r="I26" s="24" t="s">
        <v>18</v>
      </c>
      <c r="J26" s="24"/>
      <c r="K26" s="22">
        <f>COUNTIFS(Table1[Gender],$H$23,Table1[Department],I26)</f>
        <v>2</v>
      </c>
      <c r="L26" s="22">
        <f>SUMIFS(Table1[Salary],Table1[Gender],$H$23,Table1[Department],I26)</f>
        <v>127027.63999999998</v>
      </c>
      <c r="M26" s="23">
        <f>COUNTIFS(Table1[Gender],$H$24,Table1[Department],I26)</f>
        <v>1</v>
      </c>
      <c r="N26" s="23">
        <f>SUMIFS(Table1[Salary],Table1[Gender],$H$24,Table1[Department],I26)</f>
        <v>50449.46</v>
      </c>
    </row>
    <row r="27" spans="1:14" x14ac:dyDescent="0.25">
      <c r="A27" t="s">
        <v>45</v>
      </c>
      <c r="B27" t="s">
        <v>7</v>
      </c>
      <c r="C27" t="s">
        <v>30</v>
      </c>
      <c r="D27">
        <v>76320.44</v>
      </c>
      <c r="E27" s="1">
        <v>36713</v>
      </c>
      <c r="F27" s="2">
        <f t="shared" ca="1" si="0"/>
        <v>25.126027397260273</v>
      </c>
      <c r="H27" s="3"/>
      <c r="I27" s="24" t="s">
        <v>10</v>
      </c>
      <c r="J27" s="24"/>
      <c r="K27" s="22">
        <f>COUNTIFS(Table1[Gender],$H$23,Table1[Department],I27)</f>
        <v>3</v>
      </c>
      <c r="L27" s="22">
        <f>SUMIFS(Table1[Salary],Table1[Gender],$H$23,Table1[Department],I27)</f>
        <v>244414.12</v>
      </c>
      <c r="M27" s="23">
        <f>COUNTIFS(Table1[Gender],$H$24,Table1[Department],I27)</f>
        <v>3</v>
      </c>
      <c r="N27" s="23">
        <f>SUMIFS(Table1[Salary],Table1[Gender],$H$24,Table1[Department],I27)</f>
        <v>226534.16</v>
      </c>
    </row>
    <row r="28" spans="1:14" x14ac:dyDescent="0.25">
      <c r="A28" t="s">
        <v>46</v>
      </c>
      <c r="B28" t="s">
        <v>7</v>
      </c>
      <c r="C28" t="s">
        <v>10</v>
      </c>
      <c r="D28">
        <v>73360.38</v>
      </c>
      <c r="E28" s="1">
        <v>29727</v>
      </c>
      <c r="F28" s="2">
        <f t="shared" ca="1" si="0"/>
        <v>44.265753424657532</v>
      </c>
      <c r="H28" s="3"/>
      <c r="I28" s="24" t="s">
        <v>21</v>
      </c>
      <c r="J28" s="24"/>
      <c r="K28" s="22">
        <f>COUNTIFS(Table1[Gender],$H$23,Table1[Department],I28)</f>
        <v>2</v>
      </c>
      <c r="L28" s="22">
        <f>SUMIFS(Table1[Salary],Table1[Gender],$H$23,Table1[Department],I28)</f>
        <v>83298.94</v>
      </c>
      <c r="M28" s="23">
        <f>COUNTIFS(Table1[Gender],$H$24,Table1[Department],I28)</f>
        <v>1</v>
      </c>
      <c r="N28" s="23">
        <f>SUMIFS(Table1[Salary],Table1[Gender],$H$24,Table1[Department],I28)</f>
        <v>114425.19</v>
      </c>
    </row>
    <row r="29" spans="1:14" x14ac:dyDescent="0.25">
      <c r="A29" t="s">
        <v>47</v>
      </c>
      <c r="B29" t="s">
        <v>9</v>
      </c>
      <c r="C29" t="s">
        <v>18</v>
      </c>
      <c r="D29">
        <v>50449.46</v>
      </c>
      <c r="E29" s="1">
        <v>33922</v>
      </c>
      <c r="F29" s="2">
        <f t="shared" ca="1" si="0"/>
        <v>32.772602739726025</v>
      </c>
      <c r="H29" s="3"/>
      <c r="I29" s="24" t="s">
        <v>24</v>
      </c>
      <c r="J29" s="24"/>
      <c r="K29" s="22">
        <f>COUNTIFS(Table1[Gender],$H$23,Table1[Department],I29)</f>
        <v>2</v>
      </c>
      <c r="L29" s="22">
        <f>SUMIFS(Table1[Salary],Table1[Gender],$H$23,Table1[Department],I29)</f>
        <v>115351.31</v>
      </c>
      <c r="M29" s="23">
        <f>COUNTIFS(Table1[Gender],$H$24,Table1[Department],I29)</f>
        <v>3</v>
      </c>
      <c r="N29" s="23">
        <f>SUMIFS(Table1[Salary],Table1[Gender],$H$24,Table1[Department],I29)</f>
        <v>222862.96</v>
      </c>
    </row>
    <row r="30" spans="1:14" x14ac:dyDescent="0.25">
      <c r="A30" t="s">
        <v>48</v>
      </c>
      <c r="B30" t="s">
        <v>7</v>
      </c>
      <c r="C30" t="s">
        <v>14</v>
      </c>
      <c r="D30">
        <v>53949.26</v>
      </c>
      <c r="E30" s="1">
        <v>35408</v>
      </c>
      <c r="F30" s="2">
        <f t="shared" ca="1" si="0"/>
        <v>28.701369863013699</v>
      </c>
      <c r="H30" s="3"/>
      <c r="I30" s="24" t="s">
        <v>30</v>
      </c>
      <c r="J30" s="24"/>
      <c r="K30" s="22">
        <f>COUNTIFS(Table1[Gender],$H$23,Table1[Department],I30)</f>
        <v>3</v>
      </c>
      <c r="L30" s="22">
        <f>SUMIFS(Table1[Salary],Table1[Gender],$H$23,Table1[Department],I30)</f>
        <v>213187.49</v>
      </c>
      <c r="M30" s="23">
        <f>COUNTIFS(Table1[Gender],$H$24,Table1[Department],I30)</f>
        <v>1</v>
      </c>
      <c r="N30" s="23">
        <f>SUMIFS(Table1[Salary],Table1[Gender],$H$24,Table1[Department],I30)</f>
        <v>61994.76</v>
      </c>
    </row>
    <row r="31" spans="1:14" x14ac:dyDescent="0.25">
      <c r="A31" t="s">
        <v>49</v>
      </c>
      <c r="B31" t="s">
        <v>7</v>
      </c>
      <c r="C31" t="s">
        <v>43</v>
      </c>
      <c r="D31">
        <v>113616.23</v>
      </c>
      <c r="E31" s="1">
        <v>33759</v>
      </c>
      <c r="F31" s="2">
        <f t="shared" ca="1" si="0"/>
        <v>33.219178082191782</v>
      </c>
      <c r="H31" s="3"/>
      <c r="I31" s="24" t="s">
        <v>32</v>
      </c>
      <c r="J31" s="24"/>
      <c r="K31" s="22">
        <f>COUNTIFS(Table1[Gender],$H$23,Table1[Department],I31)</f>
        <v>3</v>
      </c>
      <c r="L31" s="22">
        <f>SUMIFS(Table1[Salary],Table1[Gender],$H$23,Table1[Department],I31)</f>
        <v>162629.29</v>
      </c>
      <c r="M31" s="23">
        <f>COUNTIFS(Table1[Gender],$H$24,Table1[Department],I31)</f>
        <v>1</v>
      </c>
      <c r="N31" s="23">
        <f>SUMIFS(Table1[Salary],Table1[Gender],$H$24,Table1[Department],I31)</f>
        <v>69163.39</v>
      </c>
    </row>
    <row r="32" spans="1:14" x14ac:dyDescent="0.25">
      <c r="A32" t="s">
        <v>50</v>
      </c>
      <c r="B32" t="s">
        <v>9</v>
      </c>
      <c r="C32" t="s">
        <v>24</v>
      </c>
      <c r="D32">
        <v>100371.31</v>
      </c>
      <c r="E32" s="1">
        <v>29822</v>
      </c>
      <c r="F32" s="2">
        <f t="shared" ca="1" si="0"/>
        <v>44.005479452054793</v>
      </c>
      <c r="H32" s="3"/>
      <c r="I32" s="24" t="s">
        <v>34</v>
      </c>
      <c r="J32" s="24"/>
      <c r="K32" s="22">
        <f>COUNTIFS(Table1[Gender],$H$23,Table1[Department],I32)</f>
        <v>1</v>
      </c>
      <c r="L32" s="22">
        <f>SUMIFS(Table1[Salary],Table1[Gender],$H$23,Table1[Department],I32)</f>
        <v>62195.47</v>
      </c>
      <c r="M32" s="23">
        <f>COUNTIFS(Table1[Gender],$H$24,Table1[Department],I32)</f>
        <v>0</v>
      </c>
      <c r="N32" s="23">
        <f>SUMIFS(Table1[Salary],Table1[Gender],$H$24,Table1[Department],I32)</f>
        <v>0</v>
      </c>
    </row>
    <row r="33" spans="1:14" x14ac:dyDescent="0.25">
      <c r="A33" t="s">
        <v>51</v>
      </c>
      <c r="B33" t="s">
        <v>9</v>
      </c>
      <c r="C33" t="s">
        <v>32</v>
      </c>
      <c r="D33">
        <v>69163.39</v>
      </c>
      <c r="E33" s="1">
        <v>33901</v>
      </c>
      <c r="F33" s="2">
        <f t="shared" ca="1" si="0"/>
        <v>32.830136986301369</v>
      </c>
      <c r="H33" s="3"/>
      <c r="I33" s="24" t="s">
        <v>43</v>
      </c>
      <c r="J33" s="24"/>
      <c r="K33" s="22">
        <f>COUNTIFS(Table1[Gender],$H$23,Table1[Department],I33)</f>
        <v>2</v>
      </c>
      <c r="L33" s="22">
        <f>SUMIFS(Table1[Salary],Table1[Gender],$H$23,Table1[Department],I33)</f>
        <v>204313.9</v>
      </c>
      <c r="M33" s="23">
        <f>COUNTIFS(Table1[Gender],$H$24,Table1[Department],I33)</f>
        <v>0</v>
      </c>
      <c r="N33" s="23">
        <f>SUMIFS(Table1[Salary],Table1[Gender],$H$24,Table1[Department],I33)</f>
        <v>0</v>
      </c>
    </row>
    <row r="34" spans="1:14" x14ac:dyDescent="0.25">
      <c r="A34" t="s">
        <v>52</v>
      </c>
      <c r="B34" t="s">
        <v>7</v>
      </c>
      <c r="C34" t="s">
        <v>14</v>
      </c>
      <c r="D34">
        <v>114691.03</v>
      </c>
      <c r="E34" s="1">
        <v>29794</v>
      </c>
      <c r="F34" s="2">
        <f t="shared" ca="1" si="0"/>
        <v>44.082191780821915</v>
      </c>
      <c r="H34" s="3"/>
      <c r="I34" s="24" t="s">
        <v>24</v>
      </c>
      <c r="J34" s="24"/>
      <c r="K34" s="22">
        <f>COUNTIFS(Table1[Gender],$H$23,Table1[Department],I34)</f>
        <v>2</v>
      </c>
      <c r="L34" s="22">
        <f>SUMIFS(Table1[Salary],Table1[Gender],$H$23,Table1[Department],I34)</f>
        <v>115351.31</v>
      </c>
      <c r="M34" s="23">
        <f>COUNTIFS(Table1[Gender],$H$24,Table1[Department],I34)</f>
        <v>3</v>
      </c>
      <c r="N34" s="23">
        <f>SUMIFS(Table1[Salary],Table1[Gender],$H$24,Table1[Department],I34)</f>
        <v>222862.96</v>
      </c>
    </row>
    <row r="35" spans="1:14" x14ac:dyDescent="0.25">
      <c r="A35" t="s">
        <v>53</v>
      </c>
      <c r="B35" t="s">
        <v>7</v>
      </c>
      <c r="C35" t="s">
        <v>30</v>
      </c>
      <c r="D35">
        <v>86556.96</v>
      </c>
      <c r="E35" s="1">
        <v>29859</v>
      </c>
      <c r="F35" s="2">
        <f t="shared" ca="1" si="0"/>
        <v>43.904109589041099</v>
      </c>
    </row>
    <row r="36" spans="1:14" x14ac:dyDescent="0.25">
      <c r="A36" t="s">
        <v>54</v>
      </c>
      <c r="B36" t="s">
        <v>9</v>
      </c>
      <c r="C36" t="s">
        <v>12</v>
      </c>
      <c r="D36">
        <v>31172.77</v>
      </c>
      <c r="E36" s="1">
        <v>35265</v>
      </c>
      <c r="F36" s="2">
        <f t="shared" ca="1" si="0"/>
        <v>29.093150684931508</v>
      </c>
    </row>
    <row r="37" spans="1:14" x14ac:dyDescent="0.25">
      <c r="A37" t="s">
        <v>55</v>
      </c>
      <c r="B37" t="s">
        <v>7</v>
      </c>
      <c r="C37" t="s">
        <v>10</v>
      </c>
      <c r="D37">
        <v>80169.42</v>
      </c>
      <c r="E37" s="1">
        <v>29808</v>
      </c>
      <c r="F37" s="2">
        <f t="shared" ca="1" si="0"/>
        <v>44.043835616438358</v>
      </c>
      <c r="H37" s="28" t="s">
        <v>72</v>
      </c>
      <c r="I37" s="28"/>
      <c r="J37" s="28"/>
      <c r="K37" s="28"/>
    </row>
    <row r="38" spans="1:14" x14ac:dyDescent="0.25">
      <c r="A38" t="s">
        <v>48</v>
      </c>
      <c r="B38" t="s">
        <v>7</v>
      </c>
      <c r="C38" t="s">
        <v>14</v>
      </c>
      <c r="D38">
        <v>53949.26</v>
      </c>
      <c r="E38" s="1">
        <v>35408</v>
      </c>
      <c r="F38" s="2">
        <f t="shared" ca="1" si="0"/>
        <v>28.701369863013699</v>
      </c>
    </row>
    <row r="39" spans="1:14" x14ac:dyDescent="0.25">
      <c r="A39" t="s">
        <v>56</v>
      </c>
      <c r="B39" t="s">
        <v>9</v>
      </c>
      <c r="C39" t="s">
        <v>24</v>
      </c>
      <c r="D39">
        <v>58935.92</v>
      </c>
      <c r="E39" s="1">
        <v>35317</v>
      </c>
      <c r="F39" s="2">
        <f t="shared" ca="1" si="0"/>
        <v>28.950684931506849</v>
      </c>
      <c r="H39" s="25" t="s">
        <v>0</v>
      </c>
      <c r="I39" s="26" t="s">
        <v>48</v>
      </c>
    </row>
    <row r="40" spans="1:14" x14ac:dyDescent="0.25">
      <c r="A40" t="s">
        <v>57</v>
      </c>
      <c r="B40" t="s">
        <v>9</v>
      </c>
      <c r="C40" t="s">
        <v>24</v>
      </c>
      <c r="D40">
        <v>63555.73</v>
      </c>
      <c r="E40" s="1">
        <v>29914</v>
      </c>
      <c r="F40" s="2">
        <f t="shared" ca="1" si="0"/>
        <v>43.753424657534246</v>
      </c>
      <c r="H40" s="25" t="s">
        <v>1</v>
      </c>
      <c r="I40" s="26" t="str">
        <f>INDEX(Table1[Gender],MATCH($I$39,Table1[Name],0))</f>
        <v>Male</v>
      </c>
    </row>
    <row r="41" spans="1:14" x14ac:dyDescent="0.25">
      <c r="A41" t="s">
        <v>58</v>
      </c>
      <c r="B41" t="s">
        <v>7</v>
      </c>
      <c r="C41" t="s">
        <v>32</v>
      </c>
      <c r="D41">
        <v>57419.35</v>
      </c>
      <c r="E41" s="1">
        <v>33809</v>
      </c>
      <c r="F41" s="2">
        <f t="shared" ca="1" si="0"/>
        <v>33.082191780821915</v>
      </c>
      <c r="H41" s="25" t="s">
        <v>2</v>
      </c>
      <c r="I41" s="26" t="str">
        <f>INDEX(Table1[Department],MATCH($I$39,Table1[Name],0))</f>
        <v>Training</v>
      </c>
    </row>
    <row r="42" spans="1:14" x14ac:dyDescent="0.25">
      <c r="A42" t="s">
        <v>59</v>
      </c>
      <c r="B42" t="s">
        <v>9</v>
      </c>
      <c r="C42" t="s">
        <v>12</v>
      </c>
      <c r="D42">
        <v>44403.77</v>
      </c>
      <c r="E42" s="1">
        <v>33920</v>
      </c>
      <c r="F42" s="2">
        <f t="shared" ca="1" si="0"/>
        <v>32.778082191780825</v>
      </c>
      <c r="H42" s="25" t="s">
        <v>3</v>
      </c>
      <c r="I42" s="26">
        <f>INDEX(Table1[Salary],MATCH($I$39,Table1[Name],0))</f>
        <v>53949.26</v>
      </c>
    </row>
    <row r="44" spans="1:14" x14ac:dyDescent="0.25">
      <c r="H44" s="32" t="s">
        <v>73</v>
      </c>
      <c r="I44" s="32"/>
      <c r="J44" s="32"/>
      <c r="K44" s="32"/>
    </row>
    <row r="46" spans="1:14" x14ac:dyDescent="0.25">
      <c r="H46" s="25" t="s">
        <v>0</v>
      </c>
      <c r="I46" s="11" t="str">
        <f>INDEX(Table1[Name],MATCH(MIN(Table1[Salary]),Table1[Salary],0))</f>
        <v>Ginger  Myott</v>
      </c>
    </row>
    <row r="48" spans="1:14" x14ac:dyDescent="0.25">
      <c r="H48" s="33" t="s">
        <v>74</v>
      </c>
      <c r="I48" s="33"/>
      <c r="J48" s="33"/>
      <c r="K48" s="33"/>
    </row>
    <row r="50" spans="8:11" x14ac:dyDescent="0.25">
      <c r="H50" s="25" t="s">
        <v>0</v>
      </c>
      <c r="I50" s="11" t="str">
        <f>INDEX(Table1[Name],MATCH(MAX(Table1[Salary]),Table1[Salary],0))</f>
        <v>Shellysheldon Mahady</v>
      </c>
    </row>
    <row r="52" spans="8:11" x14ac:dyDescent="0.25">
      <c r="H52" s="33" t="s">
        <v>78</v>
      </c>
      <c r="I52" s="33"/>
      <c r="J52" s="33"/>
      <c r="K52" s="33"/>
    </row>
    <row r="54" spans="8:11" x14ac:dyDescent="0.25">
      <c r="H54" s="25" t="s">
        <v>77</v>
      </c>
      <c r="I54" s="11">
        <f>COUNTIF(Table1[Name],"s*")</f>
        <v>3</v>
      </c>
    </row>
  </sheetData>
  <mergeCells count="24">
    <mergeCell ref="H52:K52"/>
    <mergeCell ref="H48:K48"/>
    <mergeCell ref="H14:L14"/>
    <mergeCell ref="K4:N4"/>
    <mergeCell ref="I34:J34"/>
    <mergeCell ref="H22:J22"/>
    <mergeCell ref="H25:H34"/>
    <mergeCell ref="H37:K37"/>
    <mergeCell ref="H44:K44"/>
    <mergeCell ref="I28:J28"/>
    <mergeCell ref="I29:J29"/>
    <mergeCell ref="I30:J30"/>
    <mergeCell ref="I31:J31"/>
    <mergeCell ref="I32:J32"/>
    <mergeCell ref="I33:J33"/>
    <mergeCell ref="I5:J5"/>
    <mergeCell ref="I6:J6"/>
    <mergeCell ref="I7:J7"/>
    <mergeCell ref="I8:I12"/>
    <mergeCell ref="I23:J23"/>
    <mergeCell ref="I24:J24"/>
    <mergeCell ref="I25:J25"/>
    <mergeCell ref="I26:J26"/>
    <mergeCell ref="I27:J27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MUNAGALA SURESH REDDY</dc:creator>
  <cp:lastModifiedBy>MUNAGALA SURESH REDDY</cp:lastModifiedBy>
  <dcterms:created xsi:type="dcterms:W3CDTF">2025-08-15T09:16:06Z</dcterms:created>
  <dcterms:modified xsi:type="dcterms:W3CDTF">2025-08-15T10:09:28Z</dcterms:modified>
</cp:coreProperties>
</file>