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4. Using Formulas\"/>
    </mc:Choice>
  </mc:AlternateContent>
  <xr:revisionPtr revIDLastSave="0" documentId="13_ncr:1_{107BDFDE-AB9E-44B7-A01E-591C6D15C1E6}" xr6:coauthVersionLast="47" xr6:coauthVersionMax="47" xr10:uidLastSave="{00000000-0000-0000-0000-000000000000}"/>
  <bookViews>
    <workbookView xWindow="-120" yWindow="-120" windowWidth="20730" windowHeight="11760" xr2:uid="{35DA85F4-F5C7-4DD7-8843-87A9C5C35216}"/>
  </bookViews>
  <sheets>
    <sheet name="Data" sheetId="1" r:id="rId1"/>
    <sheet name="Retrived_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</calcChain>
</file>

<file path=xl/sharedStrings.xml><?xml version="1.0" encoding="utf-8"?>
<sst xmlns="http://schemas.openxmlformats.org/spreadsheetml/2006/main" count="172" uniqueCount="63">
  <si>
    <t>Name</t>
  </si>
  <si>
    <t>Gender</t>
  </si>
  <si>
    <t>Department</t>
  </si>
  <si>
    <t>Salary</t>
  </si>
  <si>
    <t>DateOfBirth</t>
  </si>
  <si>
    <t>Age</t>
  </si>
  <si>
    <t>Minerva Ricardot</t>
  </si>
  <si>
    <t>Male</t>
  </si>
  <si>
    <t>Services</t>
  </si>
  <si>
    <t>Oona Donan</t>
  </si>
  <si>
    <t>Female</t>
  </si>
  <si>
    <t>Business Development</t>
  </si>
  <si>
    <t>Mick Spraberry</t>
  </si>
  <si>
    <t>Mackenzie Hannis</t>
  </si>
  <si>
    <t>Training</t>
  </si>
  <si>
    <t>Jessica Callcott</t>
  </si>
  <si>
    <t>Marketing</t>
  </si>
  <si>
    <t xml:space="preserve"> Leena Bruckshaw</t>
  </si>
  <si>
    <t>Research and Development</t>
  </si>
  <si>
    <t>Billi Fellgate</t>
  </si>
  <si>
    <t xml:space="preserve">Cletus McGarahan </t>
  </si>
  <si>
    <t>Engineering</t>
  </si>
  <si>
    <t xml:space="preserve"> Wyn Treadger</t>
  </si>
  <si>
    <t>Evangelina Lergan</t>
  </si>
  <si>
    <t>Support</t>
  </si>
  <si>
    <t>Verla Timmis</t>
  </si>
  <si>
    <t>Devinne Tuny</t>
  </si>
  <si>
    <t>Pearla  Beteriss</t>
  </si>
  <si>
    <t>Maritsa Marusic</t>
  </si>
  <si>
    <t>Daisie McNeice</t>
  </si>
  <si>
    <t>Human Resources</t>
  </si>
  <si>
    <t xml:space="preserve"> Jill Shipsey</t>
  </si>
  <si>
    <t>Accounting</t>
  </si>
  <si>
    <t>Myrle Prandoni</t>
  </si>
  <si>
    <t>Sales</t>
  </si>
  <si>
    <t>Seward Kubera</t>
  </si>
  <si>
    <t>Dean Biggam</t>
  </si>
  <si>
    <t>Daisie Dahlman</t>
  </si>
  <si>
    <t>Danica Nayshe</t>
  </si>
  <si>
    <t>Althea  Bronger</t>
  </si>
  <si>
    <t>Product Management</t>
  </si>
  <si>
    <t>Leonidas Cavaney</t>
  </si>
  <si>
    <t>Dennison Crosswaite</t>
  </si>
  <si>
    <t>Legal</t>
  </si>
  <si>
    <t>Aldrich  Glenny</t>
  </si>
  <si>
    <t>Yvette  Bett</t>
  </si>
  <si>
    <t>Renaldo Thomassin</t>
  </si>
  <si>
    <t>Genevra Friday</t>
  </si>
  <si>
    <t>Thekla Lynnett</t>
  </si>
  <si>
    <t>Westbrook Brandino</t>
  </si>
  <si>
    <t xml:space="preserve">Shaylyn Ransbury </t>
  </si>
  <si>
    <t>Grady Rochelle</t>
  </si>
  <si>
    <t>Shellysheldon Mahady</t>
  </si>
  <si>
    <t>Riccardo Hagan</t>
  </si>
  <si>
    <t>Ginger  Myott</t>
  </si>
  <si>
    <t>Aileen McCritchie</t>
  </si>
  <si>
    <t>Oby Sorrel</t>
  </si>
  <si>
    <t>Lincoln Cord</t>
  </si>
  <si>
    <t>Tabby  Astall</t>
  </si>
  <si>
    <t>Julietta Culross</t>
  </si>
  <si>
    <t>VLOOKUP(A2,Table1[#All],3,FALSE)</t>
  </si>
  <si>
    <t>VLOOKUP(A2,Table1[#All],4,FALSE)</t>
  </si>
  <si>
    <t>**Retrive Salary and Department Data based on the the Data sheet using VLOOKUP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</si>
</sst>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9B01F-393C-4B69-A5C8-7B1B9DF95FA5}" name="Table1" displayName="Table1" ref="A1:F42" totalsRowShown="0">
  <autoFilter ref="A1:F42" xr:uid="{6959B01F-393C-4B69-A5C8-7B1B9DF95FA5}"/>
  <tableColumns count="6">
    <tableColumn id="1" xr3:uid="{637279B9-9450-4E07-96A6-DF0AA69A9CE5}" name="Name"/>
    <tableColumn id="2" xr3:uid="{AD00E61C-92E4-4849-8295-E7A7AB328101}" name="Gender"/>
    <tableColumn id="3" xr3:uid="{0D8E9DC9-97CF-4726-8997-DC641818A350}" name="Department"/>
    <tableColumn id="4" xr3:uid="{46EDB5C7-04C7-4F51-9A9E-D634FB5F0B4E}" name="Salary"/>
    <tableColumn id="5" xr3:uid="{F2684CDE-D3DE-41B8-8968-FCD6102293B7}" name="DateOfBirth"/>
    <tableColumn id="6" xr3:uid="{14F4BCF9-4BCE-4B37-9A86-1B45395B857D}" name="Ag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99035-BA72-48BB-893F-993DD812B0E7}" name="Table2" displayName="Table2" ref="A1:C38" totalsRowShown="0">
  <autoFilter ref="A1:C38" xr:uid="{B6699035-BA72-48BB-893F-993DD812B0E7}"/>
  <tableColumns count="3">
    <tableColumn id="1" xr3:uid="{28843904-8423-43C8-A6DE-CEE359634EC7}" name="Name"/>
    <tableColumn id="2" xr3:uid="{97E13CC2-A42E-4593-A3C9-564C8E8A15ED}" name="Salary" dataDxfId="0">
      <calculatedColumnFormula>VLOOKUP(A2,Table1[#All],4,FALSE)</calculatedColumnFormula>
    </tableColumn>
    <tableColumn id="3" xr3:uid="{61CF3986-0BC2-483B-9E09-A5D190BBDD49}" name="Department">
      <calculatedColumnFormula>VLOOKUP(A2,Table1[#All],3,FALSE)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480F-02DA-458E-BF3C-FBD13179F5FF}">
  <dimension ref="A1:F42"/>
  <sheetViews>
    <sheetView tabSelected="1" topLeftCell="A19" workbookViewId="0">
      <selection activeCell="C21" sqref="C21"/>
    </sheetView>
  </sheetViews>
  <sheetFormatPr defaultRowHeight="15" x14ac:dyDescent="0.25"/>
  <cols>
    <col min="1" max="1" width="21.42578125" bestFit="1" customWidth="1"/>
    <col min="2" max="2" width="10" bestFit="1" customWidth="1"/>
    <col min="3" max="3" width="25.85546875" bestFit="1" customWidth="1"/>
    <col min="4" max="4" width="10" bestFit="1" customWidth="1"/>
    <col min="5" max="5" width="13.855468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105468.7</v>
      </c>
      <c r="E2">
        <v>33920</v>
      </c>
      <c r="F2">
        <v>32.778082191780825</v>
      </c>
    </row>
    <row r="3" spans="1:6" x14ac:dyDescent="0.25">
      <c r="A3" t="s">
        <v>9</v>
      </c>
      <c r="B3" t="s">
        <v>10</v>
      </c>
      <c r="C3" t="s">
        <v>11</v>
      </c>
      <c r="D3">
        <v>88360.79</v>
      </c>
      <c r="E3">
        <v>35310</v>
      </c>
      <c r="F3">
        <v>28.969863013698632</v>
      </c>
    </row>
    <row r="4" spans="1:6" x14ac:dyDescent="0.25">
      <c r="A4" t="s">
        <v>12</v>
      </c>
      <c r="B4" t="s">
        <v>10</v>
      </c>
      <c r="C4" t="s">
        <v>8</v>
      </c>
      <c r="D4">
        <v>85879.23</v>
      </c>
      <c r="E4">
        <v>29657</v>
      </c>
      <c r="F4">
        <v>44.457534246575342</v>
      </c>
    </row>
    <row r="5" spans="1:6" x14ac:dyDescent="0.25">
      <c r="A5" t="s">
        <v>13</v>
      </c>
      <c r="B5" t="s">
        <v>10</v>
      </c>
      <c r="C5" t="s">
        <v>14</v>
      </c>
      <c r="D5">
        <v>57002.02</v>
      </c>
      <c r="E5">
        <v>33696</v>
      </c>
      <c r="F5">
        <v>33.391780821917806</v>
      </c>
    </row>
    <row r="6" spans="1:6" x14ac:dyDescent="0.25">
      <c r="A6" t="s">
        <v>15</v>
      </c>
      <c r="B6" t="s">
        <v>10</v>
      </c>
      <c r="C6" t="s">
        <v>16</v>
      </c>
      <c r="D6">
        <v>66017.179999999993</v>
      </c>
      <c r="E6">
        <v>35243</v>
      </c>
      <c r="F6">
        <v>29.153424657534245</v>
      </c>
    </row>
    <row r="7" spans="1:6" x14ac:dyDescent="0.25">
      <c r="A7" t="s">
        <v>17</v>
      </c>
      <c r="B7" t="s">
        <v>7</v>
      </c>
      <c r="C7" t="s">
        <v>18</v>
      </c>
      <c r="D7">
        <v>74279.009999999995</v>
      </c>
      <c r="E7">
        <v>35065</v>
      </c>
      <c r="F7">
        <v>29.641095890410959</v>
      </c>
    </row>
    <row r="8" spans="1:6" x14ac:dyDescent="0.25">
      <c r="A8" t="s">
        <v>19</v>
      </c>
      <c r="B8" t="s">
        <v>10</v>
      </c>
      <c r="C8" t="s">
        <v>11</v>
      </c>
      <c r="D8">
        <v>68980.52</v>
      </c>
      <c r="E8">
        <v>35093</v>
      </c>
      <c r="F8">
        <v>29.564383561643837</v>
      </c>
    </row>
    <row r="9" spans="1:6" x14ac:dyDescent="0.25">
      <c r="A9" t="s">
        <v>20</v>
      </c>
      <c r="B9" t="s">
        <v>10</v>
      </c>
      <c r="C9" t="s">
        <v>21</v>
      </c>
      <c r="D9">
        <v>114425.19</v>
      </c>
      <c r="E9">
        <v>29613</v>
      </c>
      <c r="F9">
        <v>44.578082191780823</v>
      </c>
    </row>
    <row r="10" spans="1:6" x14ac:dyDescent="0.25">
      <c r="A10" t="s">
        <v>22</v>
      </c>
      <c r="B10" t="s">
        <v>10</v>
      </c>
      <c r="C10" t="s">
        <v>11</v>
      </c>
      <c r="D10">
        <v>69192.850000000006</v>
      </c>
      <c r="E10">
        <v>39557</v>
      </c>
      <c r="F10">
        <v>17.334246575342465</v>
      </c>
    </row>
    <row r="11" spans="1:6" x14ac:dyDescent="0.25">
      <c r="A11" t="s">
        <v>23</v>
      </c>
      <c r="B11" t="s">
        <v>7</v>
      </c>
      <c r="C11" t="s">
        <v>24</v>
      </c>
      <c r="D11">
        <v>61214.26</v>
      </c>
      <c r="E11">
        <v>33675</v>
      </c>
      <c r="F11">
        <v>33.449315068493149</v>
      </c>
    </row>
    <row r="12" spans="1:6" x14ac:dyDescent="0.25">
      <c r="A12" t="s">
        <v>25</v>
      </c>
      <c r="B12" t="s">
        <v>7</v>
      </c>
      <c r="C12" t="s">
        <v>24</v>
      </c>
      <c r="D12">
        <v>54137.05</v>
      </c>
      <c r="E12">
        <v>35363</v>
      </c>
      <c r="F12">
        <v>28.824657534246576</v>
      </c>
    </row>
    <row r="13" spans="1:6" x14ac:dyDescent="0.25">
      <c r="A13" t="s">
        <v>26</v>
      </c>
      <c r="B13" t="s">
        <v>7</v>
      </c>
      <c r="C13" t="s">
        <v>21</v>
      </c>
      <c r="D13">
        <v>39969.72</v>
      </c>
      <c r="E13">
        <v>33948</v>
      </c>
      <c r="F13">
        <v>32.701369863013696</v>
      </c>
    </row>
    <row r="14" spans="1:6" x14ac:dyDescent="0.25">
      <c r="A14" t="s">
        <v>27</v>
      </c>
      <c r="B14" t="s">
        <v>7</v>
      </c>
      <c r="C14" t="s">
        <v>8</v>
      </c>
      <c r="D14">
        <v>69913.39</v>
      </c>
      <c r="E14">
        <v>35184</v>
      </c>
      <c r="F14">
        <v>29.315068493150687</v>
      </c>
    </row>
    <row r="15" spans="1:6" x14ac:dyDescent="0.25">
      <c r="A15" t="s">
        <v>28</v>
      </c>
      <c r="B15" t="s">
        <v>7</v>
      </c>
      <c r="C15" t="s">
        <v>18</v>
      </c>
      <c r="D15">
        <v>52748.63</v>
      </c>
      <c r="E15">
        <v>29613</v>
      </c>
      <c r="F15">
        <v>44.578082191780823</v>
      </c>
    </row>
    <row r="16" spans="1:6" x14ac:dyDescent="0.25">
      <c r="A16" t="s">
        <v>29</v>
      </c>
      <c r="B16" t="s">
        <v>7</v>
      </c>
      <c r="C16" t="s">
        <v>30</v>
      </c>
      <c r="D16">
        <v>50310.09</v>
      </c>
      <c r="E16">
        <v>36980</v>
      </c>
      <c r="F16">
        <v>24.394520547945206</v>
      </c>
    </row>
    <row r="17" spans="1:6" x14ac:dyDescent="0.25">
      <c r="A17" t="s">
        <v>31</v>
      </c>
      <c r="B17" t="s">
        <v>7</v>
      </c>
      <c r="C17" t="s">
        <v>32</v>
      </c>
      <c r="D17">
        <v>52963.65</v>
      </c>
      <c r="E17">
        <v>37348</v>
      </c>
      <c r="F17">
        <v>23.386301369863013</v>
      </c>
    </row>
    <row r="18" spans="1:6" x14ac:dyDescent="0.25">
      <c r="A18" t="s">
        <v>33</v>
      </c>
      <c r="B18" t="s">
        <v>7</v>
      </c>
      <c r="C18" t="s">
        <v>34</v>
      </c>
      <c r="D18">
        <v>62195.47</v>
      </c>
      <c r="E18">
        <v>38955</v>
      </c>
      <c r="F18">
        <v>18.983561643835618</v>
      </c>
    </row>
    <row r="19" spans="1:6" x14ac:dyDescent="0.25">
      <c r="A19" t="s">
        <v>35</v>
      </c>
      <c r="B19" t="s">
        <v>7</v>
      </c>
      <c r="C19" t="s">
        <v>21</v>
      </c>
      <c r="D19">
        <v>43329.22</v>
      </c>
      <c r="E19">
        <v>35409</v>
      </c>
      <c r="F19">
        <v>28.698630136986303</v>
      </c>
    </row>
    <row r="20" spans="1:6" x14ac:dyDescent="0.25">
      <c r="A20" t="s">
        <v>36</v>
      </c>
      <c r="B20" t="s">
        <v>10</v>
      </c>
      <c r="C20" t="s">
        <v>14</v>
      </c>
      <c r="D20">
        <v>71570.990000000005</v>
      </c>
      <c r="E20">
        <v>36578</v>
      </c>
      <c r="F20">
        <v>25.495890410958904</v>
      </c>
    </row>
    <row r="21" spans="1:6" x14ac:dyDescent="0.25">
      <c r="A21" t="s">
        <v>37</v>
      </c>
      <c r="B21" t="s">
        <v>10</v>
      </c>
      <c r="C21" t="s">
        <v>30</v>
      </c>
      <c r="D21">
        <v>61994.76</v>
      </c>
      <c r="E21">
        <v>35394</v>
      </c>
      <c r="F21">
        <v>28.739726027397261</v>
      </c>
    </row>
    <row r="22" spans="1:6" x14ac:dyDescent="0.25">
      <c r="A22" t="s">
        <v>38</v>
      </c>
      <c r="B22" t="s">
        <v>10</v>
      </c>
      <c r="C22" t="s">
        <v>8</v>
      </c>
      <c r="D22">
        <v>89690.38</v>
      </c>
      <c r="E22">
        <v>33710</v>
      </c>
      <c r="F22">
        <v>33.353424657534248</v>
      </c>
    </row>
    <row r="23" spans="1:6" x14ac:dyDescent="0.25">
      <c r="A23" t="s">
        <v>39</v>
      </c>
      <c r="B23" t="s">
        <v>7</v>
      </c>
      <c r="C23" t="s">
        <v>40</v>
      </c>
      <c r="D23">
        <v>104335.03999999999</v>
      </c>
      <c r="E23">
        <v>29630</v>
      </c>
      <c r="F23">
        <v>44.531506849315072</v>
      </c>
    </row>
    <row r="24" spans="1:6" x14ac:dyDescent="0.25">
      <c r="A24" t="s">
        <v>41</v>
      </c>
      <c r="B24" t="s">
        <v>7</v>
      </c>
      <c r="C24" t="s">
        <v>32</v>
      </c>
      <c r="D24">
        <v>52246.29</v>
      </c>
      <c r="E24">
        <v>35173</v>
      </c>
      <c r="F24">
        <v>29.345205479452055</v>
      </c>
    </row>
    <row r="25" spans="1:6" x14ac:dyDescent="0.25">
      <c r="A25" t="s">
        <v>42</v>
      </c>
      <c r="B25" t="s">
        <v>7</v>
      </c>
      <c r="C25" t="s">
        <v>43</v>
      </c>
      <c r="D25">
        <v>90697.67</v>
      </c>
      <c r="E25">
        <v>36185</v>
      </c>
      <c r="F25">
        <v>26.572602739726026</v>
      </c>
    </row>
    <row r="26" spans="1:6" x14ac:dyDescent="0.25">
      <c r="A26" t="s">
        <v>44</v>
      </c>
      <c r="B26" t="s">
        <v>7</v>
      </c>
      <c r="C26" t="s">
        <v>11</v>
      </c>
      <c r="D26">
        <v>90884.32</v>
      </c>
      <c r="E26">
        <v>35426</v>
      </c>
      <c r="F26">
        <v>28.652054794520549</v>
      </c>
    </row>
    <row r="27" spans="1:6" x14ac:dyDescent="0.25">
      <c r="A27" t="s">
        <v>45</v>
      </c>
      <c r="B27" t="s">
        <v>7</v>
      </c>
      <c r="C27" t="s">
        <v>30</v>
      </c>
      <c r="D27">
        <v>76320.44</v>
      </c>
      <c r="E27">
        <v>36713</v>
      </c>
      <c r="F27">
        <v>25.126027397260273</v>
      </c>
    </row>
    <row r="28" spans="1:6" x14ac:dyDescent="0.25">
      <c r="A28" t="s">
        <v>46</v>
      </c>
      <c r="B28" t="s">
        <v>7</v>
      </c>
      <c r="C28" t="s">
        <v>11</v>
      </c>
      <c r="D28">
        <v>73360.38</v>
      </c>
      <c r="E28">
        <v>29727</v>
      </c>
      <c r="F28">
        <v>44.265753424657532</v>
      </c>
    </row>
    <row r="29" spans="1:6" x14ac:dyDescent="0.25">
      <c r="A29" t="s">
        <v>47</v>
      </c>
      <c r="B29" t="s">
        <v>10</v>
      </c>
      <c r="C29" t="s">
        <v>18</v>
      </c>
      <c r="D29">
        <v>50449.46</v>
      </c>
      <c r="E29">
        <v>33922</v>
      </c>
      <c r="F29">
        <v>32.772602739726025</v>
      </c>
    </row>
    <row r="30" spans="1:6" x14ac:dyDescent="0.25">
      <c r="A30" t="s">
        <v>48</v>
      </c>
      <c r="B30" t="s">
        <v>7</v>
      </c>
      <c r="C30" t="s">
        <v>14</v>
      </c>
      <c r="D30">
        <v>53949.26</v>
      </c>
      <c r="E30">
        <v>35408</v>
      </c>
      <c r="F30">
        <v>28.701369863013699</v>
      </c>
    </row>
    <row r="31" spans="1:6" x14ac:dyDescent="0.25">
      <c r="A31" t="s">
        <v>49</v>
      </c>
      <c r="B31" t="s">
        <v>7</v>
      </c>
      <c r="C31" t="s">
        <v>43</v>
      </c>
      <c r="D31">
        <v>113616.23</v>
      </c>
      <c r="E31">
        <v>33759</v>
      </c>
      <c r="F31">
        <v>33.219178082191782</v>
      </c>
    </row>
    <row r="32" spans="1:6" x14ac:dyDescent="0.25">
      <c r="A32" t="s">
        <v>50</v>
      </c>
      <c r="B32" t="s">
        <v>10</v>
      </c>
      <c r="C32" t="s">
        <v>24</v>
      </c>
      <c r="D32">
        <v>100371.31</v>
      </c>
      <c r="E32">
        <v>29822</v>
      </c>
      <c r="F32">
        <v>44.005479452054793</v>
      </c>
    </row>
    <row r="33" spans="1:6" x14ac:dyDescent="0.25">
      <c r="A33" t="s">
        <v>51</v>
      </c>
      <c r="B33" t="s">
        <v>10</v>
      </c>
      <c r="C33" t="s">
        <v>32</v>
      </c>
      <c r="D33">
        <v>69163.39</v>
      </c>
      <c r="E33">
        <v>33901</v>
      </c>
      <c r="F33">
        <v>32.830136986301369</v>
      </c>
    </row>
    <row r="34" spans="1:6" x14ac:dyDescent="0.25">
      <c r="A34" t="s">
        <v>52</v>
      </c>
      <c r="B34" t="s">
        <v>7</v>
      </c>
      <c r="C34" t="s">
        <v>14</v>
      </c>
      <c r="D34">
        <v>114691.03</v>
      </c>
      <c r="E34">
        <v>29794</v>
      </c>
      <c r="F34">
        <v>44.082191780821915</v>
      </c>
    </row>
    <row r="35" spans="1:6" x14ac:dyDescent="0.25">
      <c r="A35" t="s">
        <v>53</v>
      </c>
      <c r="B35" t="s">
        <v>7</v>
      </c>
      <c r="C35" t="s">
        <v>30</v>
      </c>
      <c r="D35">
        <v>86556.96</v>
      </c>
      <c r="E35">
        <v>29859</v>
      </c>
      <c r="F35">
        <v>43.904109589041099</v>
      </c>
    </row>
    <row r="36" spans="1:6" x14ac:dyDescent="0.25">
      <c r="A36" t="s">
        <v>54</v>
      </c>
      <c r="B36" t="s">
        <v>10</v>
      </c>
      <c r="C36" t="s">
        <v>8</v>
      </c>
      <c r="D36">
        <v>31172.77</v>
      </c>
      <c r="E36">
        <v>35265</v>
      </c>
      <c r="F36">
        <v>29.093150684931508</v>
      </c>
    </row>
    <row r="37" spans="1:6" x14ac:dyDescent="0.25">
      <c r="A37" t="s">
        <v>55</v>
      </c>
      <c r="B37" t="s">
        <v>7</v>
      </c>
      <c r="C37" t="s">
        <v>11</v>
      </c>
      <c r="D37">
        <v>80169.42</v>
      </c>
      <c r="E37">
        <v>29808</v>
      </c>
      <c r="F37">
        <v>44.043835616438358</v>
      </c>
    </row>
    <row r="38" spans="1:6" x14ac:dyDescent="0.25">
      <c r="A38" t="s">
        <v>48</v>
      </c>
      <c r="B38" t="s">
        <v>7</v>
      </c>
      <c r="C38" t="s">
        <v>14</v>
      </c>
      <c r="D38">
        <v>53949.26</v>
      </c>
      <c r="E38">
        <v>35408</v>
      </c>
      <c r="F38">
        <v>28.701369863013699</v>
      </c>
    </row>
    <row r="39" spans="1:6" x14ac:dyDescent="0.25">
      <c r="A39" t="s">
        <v>56</v>
      </c>
      <c r="B39" t="s">
        <v>10</v>
      </c>
      <c r="C39" t="s">
        <v>24</v>
      </c>
      <c r="D39">
        <v>58935.92</v>
      </c>
      <c r="E39">
        <v>35317</v>
      </c>
      <c r="F39">
        <v>28.950684931506849</v>
      </c>
    </row>
    <row r="40" spans="1:6" x14ac:dyDescent="0.25">
      <c r="A40" t="s">
        <v>57</v>
      </c>
      <c r="B40" t="s">
        <v>10</v>
      </c>
      <c r="C40" t="s">
        <v>24</v>
      </c>
      <c r="D40">
        <v>63555.73</v>
      </c>
      <c r="E40">
        <v>29914</v>
      </c>
      <c r="F40">
        <v>43.753424657534246</v>
      </c>
    </row>
    <row r="41" spans="1:6" x14ac:dyDescent="0.25">
      <c r="A41" t="s">
        <v>58</v>
      </c>
      <c r="B41" t="s">
        <v>7</v>
      </c>
      <c r="C41" t="s">
        <v>32</v>
      </c>
      <c r="D41">
        <v>57419.35</v>
      </c>
      <c r="E41">
        <v>33809</v>
      </c>
      <c r="F41">
        <v>33.082191780821915</v>
      </c>
    </row>
    <row r="42" spans="1:6" x14ac:dyDescent="0.25">
      <c r="A42" t="s">
        <v>59</v>
      </c>
      <c r="B42" t="s">
        <v>10</v>
      </c>
      <c r="C42" t="s">
        <v>8</v>
      </c>
      <c r="D42">
        <v>44403.77</v>
      </c>
      <c r="E42">
        <v>33920</v>
      </c>
      <c r="F42">
        <v>32.778082191780825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5B67-9F87-4211-A0D6-D53652FCAE10}">
  <dimension ref="A1:N38"/>
  <sheetViews>
    <sheetView workbookViewId="0">
      <selection activeCell="F15" sqref="F15"/>
    </sheetView>
  </sheetViews>
  <sheetFormatPr defaultRowHeight="15" x14ac:dyDescent="0.25"/>
  <cols>
    <col min="1" max="1" width="21.42578125" bestFit="1" customWidth="1"/>
    <col min="2" max="2" width="8.42578125" customWidth="1"/>
    <col min="3" max="3" width="25.85546875" bestFit="1" customWidth="1"/>
  </cols>
  <sheetData>
    <row r="1" spans="1:14" x14ac:dyDescent="0.25">
      <c r="A1" t="s">
        <v>0</v>
      </c>
      <c r="B1" t="s">
        <v>3</v>
      </c>
      <c r="C1" t="s">
        <v>2</v>
      </c>
      <c r="F1" s="3" t="s">
        <v>62</v>
      </c>
      <c r="G1" s="3"/>
      <c r="H1" s="3"/>
      <c r="I1" s="3"/>
      <c r="J1" s="3"/>
      <c r="K1" s="3"/>
      <c r="L1" s="3"/>
      <c r="M1" s="3"/>
      <c r="N1" s="3"/>
    </row>
    <row r="2" spans="1:14" x14ac:dyDescent="0.25">
      <c r="A2" t="s">
        <v>6</v>
      </c>
      <c r="B2" s="1">
        <f>VLOOKUP(A2,Table1[#All],4,FALSE)</f>
        <v>105468.7</v>
      </c>
      <c r="C2" t="str">
        <f>VLOOKUP(A2,Table1[#All],3,FALSE)</f>
        <v>Services</v>
      </c>
    </row>
    <row r="3" spans="1:14" x14ac:dyDescent="0.25">
      <c r="A3" t="s">
        <v>9</v>
      </c>
      <c r="B3" s="1">
        <f>VLOOKUP(A3,Table1[#All],4,FALSE)</f>
        <v>88360.79</v>
      </c>
      <c r="C3" t="str">
        <f>VLOOKUP(A3,Table1[#All],3,FALSE)</f>
        <v>Business Development</v>
      </c>
    </row>
    <row r="4" spans="1:14" x14ac:dyDescent="0.25">
      <c r="A4" t="s">
        <v>12</v>
      </c>
      <c r="B4" s="1">
        <f>VLOOKUP(A4,Table1[#All],4,FALSE)</f>
        <v>85879.23</v>
      </c>
      <c r="C4" t="str">
        <f>VLOOKUP(A4,Table1[#All],3,FALSE)</f>
        <v>Services</v>
      </c>
      <c r="H4" s="2" t="s">
        <v>60</v>
      </c>
      <c r="I4" s="2"/>
      <c r="J4" s="2"/>
      <c r="K4" s="2"/>
    </row>
    <row r="5" spans="1:14" x14ac:dyDescent="0.25">
      <c r="A5" t="s">
        <v>13</v>
      </c>
      <c r="B5" s="1">
        <f>VLOOKUP(A5,Table1[#All],4,FALSE)</f>
        <v>57002.02</v>
      </c>
      <c r="C5" t="str">
        <f>VLOOKUP(A5,Table1[#All],3,FALSE)</f>
        <v>Training</v>
      </c>
    </row>
    <row r="6" spans="1:14" x14ac:dyDescent="0.25">
      <c r="A6" t="s">
        <v>15</v>
      </c>
      <c r="B6" s="1">
        <f>VLOOKUP(A6,Table1[#All],4,FALSE)</f>
        <v>66017.179999999993</v>
      </c>
      <c r="C6" t="str">
        <f>VLOOKUP(A6,Table1[#All],3,FALSE)</f>
        <v>Marketing</v>
      </c>
      <c r="H6" s="2" t="s">
        <v>61</v>
      </c>
      <c r="I6" s="2"/>
      <c r="J6" s="2"/>
      <c r="K6" s="2"/>
    </row>
    <row r="7" spans="1:14" x14ac:dyDescent="0.25">
      <c r="A7" t="s">
        <v>17</v>
      </c>
      <c r="B7" s="1">
        <f>VLOOKUP(A7,Table1[#All],4,FALSE)</f>
        <v>74279.009999999995</v>
      </c>
      <c r="C7" t="str">
        <f>VLOOKUP(A7,Table1[#All],3,FALSE)</f>
        <v>Research and Development</v>
      </c>
    </row>
    <row r="8" spans="1:14" x14ac:dyDescent="0.25">
      <c r="A8" t="s">
        <v>58</v>
      </c>
      <c r="B8" s="1">
        <f>VLOOKUP(A8,Table1[#All],4,FALSE)</f>
        <v>57419.35</v>
      </c>
      <c r="C8" t="str">
        <f>VLOOKUP(A8,Table1[#All],3,FALSE)</f>
        <v>Accounting</v>
      </c>
    </row>
    <row r="9" spans="1:14" x14ac:dyDescent="0.25">
      <c r="A9" t="s">
        <v>20</v>
      </c>
      <c r="B9" s="1">
        <f>VLOOKUP(A9,Table1[#All],4,FALSE)</f>
        <v>114425.19</v>
      </c>
      <c r="C9" t="str">
        <f>VLOOKUP(A9,Table1[#All],3,FALSE)</f>
        <v>Engineering</v>
      </c>
    </row>
    <row r="10" spans="1:14" x14ac:dyDescent="0.25">
      <c r="A10" t="s">
        <v>22</v>
      </c>
      <c r="B10" s="1">
        <f>VLOOKUP(A10,Table1[#All],4,FALSE)</f>
        <v>69192.850000000006</v>
      </c>
      <c r="C10" t="str">
        <f>VLOOKUP(A10,Table1[#All],3,FALSE)</f>
        <v>Business Development</v>
      </c>
    </row>
    <row r="11" spans="1:14" x14ac:dyDescent="0.25">
      <c r="A11" t="s">
        <v>23</v>
      </c>
      <c r="B11" s="1">
        <f>VLOOKUP(A11,Table1[#All],4,FALSE)</f>
        <v>61214.26</v>
      </c>
      <c r="C11" t="str">
        <f>VLOOKUP(A11,Table1[#All],3,FALSE)</f>
        <v>Support</v>
      </c>
    </row>
    <row r="12" spans="1:14" x14ac:dyDescent="0.25">
      <c r="A12" t="s">
        <v>25</v>
      </c>
      <c r="B12" s="1">
        <f>VLOOKUP(A12,Table1[#All],4,FALSE)</f>
        <v>54137.05</v>
      </c>
      <c r="C12" t="str">
        <f>VLOOKUP(A12,Table1[#All],3,FALSE)</f>
        <v>Support</v>
      </c>
    </row>
    <row r="13" spans="1:14" x14ac:dyDescent="0.25">
      <c r="A13" t="s">
        <v>26</v>
      </c>
      <c r="B13" s="1">
        <f>VLOOKUP(A13,Table1[#All],4,FALSE)</f>
        <v>39969.72</v>
      </c>
      <c r="C13" t="str">
        <f>VLOOKUP(A13,Table1[#All],3,FALSE)</f>
        <v>Engineering</v>
      </c>
    </row>
    <row r="14" spans="1:14" x14ac:dyDescent="0.25">
      <c r="A14" t="s">
        <v>27</v>
      </c>
      <c r="B14" s="1">
        <f>VLOOKUP(A14,Table1[#All],4,FALSE)</f>
        <v>69913.39</v>
      </c>
      <c r="C14" t="str">
        <f>VLOOKUP(A14,Table1[#All],3,FALSE)</f>
        <v>Services</v>
      </c>
    </row>
    <row r="15" spans="1:14" x14ac:dyDescent="0.25">
      <c r="A15" t="s">
        <v>28</v>
      </c>
      <c r="B15" s="1">
        <f>VLOOKUP(A15,Table1[#All],4,FALSE)</f>
        <v>52748.63</v>
      </c>
      <c r="C15" t="str">
        <f>VLOOKUP(A15,Table1[#All],3,FALSE)</f>
        <v>Research and Development</v>
      </c>
    </row>
    <row r="16" spans="1:14" x14ac:dyDescent="0.25">
      <c r="A16" t="s">
        <v>29</v>
      </c>
      <c r="B16" s="1">
        <f>VLOOKUP(A16,Table1[#All],4,FALSE)</f>
        <v>50310.09</v>
      </c>
      <c r="C16" t="str">
        <f>VLOOKUP(A16,Table1[#All],3,FALSE)</f>
        <v>Human Resources</v>
      </c>
    </row>
    <row r="17" spans="1:3" x14ac:dyDescent="0.25">
      <c r="A17" t="s">
        <v>31</v>
      </c>
      <c r="B17" s="1">
        <f>VLOOKUP(A17,Table1[#All],4,FALSE)</f>
        <v>52963.65</v>
      </c>
      <c r="C17" t="str">
        <f>VLOOKUP(A17,Table1[#All],3,FALSE)</f>
        <v>Accounting</v>
      </c>
    </row>
    <row r="18" spans="1:3" x14ac:dyDescent="0.25">
      <c r="A18" t="s">
        <v>41</v>
      </c>
      <c r="B18" s="1">
        <f>VLOOKUP(A18,Table1[#All],4,FALSE)</f>
        <v>52246.29</v>
      </c>
      <c r="C18" t="str">
        <f>VLOOKUP(A18,Table1[#All],3,FALSE)</f>
        <v>Accounting</v>
      </c>
    </row>
    <row r="19" spans="1:3" x14ac:dyDescent="0.25">
      <c r="A19" t="s">
        <v>35</v>
      </c>
      <c r="B19" s="1">
        <f>VLOOKUP(A19,Table1[#All],4,FALSE)</f>
        <v>43329.22</v>
      </c>
      <c r="C19" t="str">
        <f>VLOOKUP(A19,Table1[#All],3,FALSE)</f>
        <v>Engineering</v>
      </c>
    </row>
    <row r="20" spans="1:3" x14ac:dyDescent="0.25">
      <c r="A20" t="s">
        <v>36</v>
      </c>
      <c r="B20" s="1">
        <f>VLOOKUP(A20,Table1[#All],4,FALSE)</f>
        <v>71570.990000000005</v>
      </c>
      <c r="C20" t="str">
        <f>VLOOKUP(A20,Table1[#All],3,FALSE)</f>
        <v>Training</v>
      </c>
    </row>
    <row r="21" spans="1:3" x14ac:dyDescent="0.25">
      <c r="A21" t="s">
        <v>37</v>
      </c>
      <c r="B21" s="1">
        <f>VLOOKUP(A21,Table1[#All],4,FALSE)</f>
        <v>61994.76</v>
      </c>
      <c r="C21" t="str">
        <f>VLOOKUP(A21,Table1[#All],3,FALSE)</f>
        <v>Human Resources</v>
      </c>
    </row>
    <row r="22" spans="1:3" x14ac:dyDescent="0.25">
      <c r="A22" t="s">
        <v>48</v>
      </c>
      <c r="B22" s="1">
        <f>VLOOKUP(A22,Table1[#All],4,FALSE)</f>
        <v>53949.26</v>
      </c>
      <c r="C22" t="str">
        <f>VLOOKUP(A22,Table1[#All],3,FALSE)</f>
        <v>Training</v>
      </c>
    </row>
    <row r="23" spans="1:3" x14ac:dyDescent="0.25">
      <c r="A23" t="s">
        <v>39</v>
      </c>
      <c r="B23" s="1">
        <f>VLOOKUP(A23,Table1[#All],4,FALSE)</f>
        <v>104335.03999999999</v>
      </c>
      <c r="C23" t="str">
        <f>VLOOKUP(A23,Table1[#All],3,FALSE)</f>
        <v>Product Management</v>
      </c>
    </row>
    <row r="24" spans="1:3" x14ac:dyDescent="0.25">
      <c r="A24" t="s">
        <v>42</v>
      </c>
      <c r="B24" s="1">
        <f>VLOOKUP(A24,Table1[#All],4,FALSE)</f>
        <v>90697.67</v>
      </c>
      <c r="C24" t="str">
        <f>VLOOKUP(A24,Table1[#All],3,FALSE)</f>
        <v>Legal</v>
      </c>
    </row>
    <row r="25" spans="1:3" x14ac:dyDescent="0.25">
      <c r="A25" t="s">
        <v>44</v>
      </c>
      <c r="B25" s="1">
        <f>VLOOKUP(A25,Table1[#All],4,FALSE)</f>
        <v>90884.32</v>
      </c>
      <c r="C25" t="str">
        <f>VLOOKUP(A25,Table1[#All],3,FALSE)</f>
        <v>Business Development</v>
      </c>
    </row>
    <row r="26" spans="1:3" x14ac:dyDescent="0.25">
      <c r="A26" t="s">
        <v>53</v>
      </c>
      <c r="B26" s="1">
        <f>VLOOKUP(A26,Table1[#All],4,FALSE)</f>
        <v>86556.96</v>
      </c>
      <c r="C26" t="str">
        <f>VLOOKUP(A26,Table1[#All],3,FALSE)</f>
        <v>Human Resources</v>
      </c>
    </row>
    <row r="27" spans="1:3" x14ac:dyDescent="0.25">
      <c r="A27" t="s">
        <v>46</v>
      </c>
      <c r="B27" s="1">
        <f>VLOOKUP(A27,Table1[#All],4,FALSE)</f>
        <v>73360.38</v>
      </c>
      <c r="C27" t="str">
        <f>VLOOKUP(A27,Table1[#All],3,FALSE)</f>
        <v>Business Development</v>
      </c>
    </row>
    <row r="28" spans="1:3" x14ac:dyDescent="0.25">
      <c r="A28" t="s">
        <v>47</v>
      </c>
      <c r="B28" s="1">
        <f>VLOOKUP(A28,Table1[#All],4,FALSE)</f>
        <v>50449.46</v>
      </c>
      <c r="C28" t="str">
        <f>VLOOKUP(A28,Table1[#All],3,FALSE)</f>
        <v>Research and Development</v>
      </c>
    </row>
    <row r="29" spans="1:3" x14ac:dyDescent="0.25">
      <c r="A29" t="s">
        <v>48</v>
      </c>
      <c r="B29" s="1">
        <f>VLOOKUP(A29,Table1[#All],4,FALSE)</f>
        <v>53949.26</v>
      </c>
      <c r="C29" t="str">
        <f>VLOOKUP(A29,Table1[#All],3,FALSE)</f>
        <v>Training</v>
      </c>
    </row>
    <row r="30" spans="1:3" x14ac:dyDescent="0.25">
      <c r="A30" t="s">
        <v>49</v>
      </c>
      <c r="B30" s="1">
        <f>VLOOKUP(A30,Table1[#All],4,FALSE)</f>
        <v>113616.23</v>
      </c>
      <c r="C30" t="str">
        <f>VLOOKUP(A30,Table1[#All],3,FALSE)</f>
        <v>Legal</v>
      </c>
    </row>
    <row r="31" spans="1:3" x14ac:dyDescent="0.25">
      <c r="A31" t="s">
        <v>50</v>
      </c>
      <c r="B31" s="1">
        <f>VLOOKUP(A31,Table1[#All],4,FALSE)</f>
        <v>100371.31</v>
      </c>
      <c r="C31" t="str">
        <f>VLOOKUP(A31,Table1[#All],3,FALSE)</f>
        <v>Support</v>
      </c>
    </row>
    <row r="32" spans="1:3" x14ac:dyDescent="0.25">
      <c r="A32" t="s">
        <v>51</v>
      </c>
      <c r="B32" s="1">
        <f>VLOOKUP(A32,Table1[#All],4,FALSE)</f>
        <v>69163.39</v>
      </c>
      <c r="C32" t="str">
        <f>VLOOKUP(A32,Table1[#All],3,FALSE)</f>
        <v>Accounting</v>
      </c>
    </row>
    <row r="33" spans="1:3" x14ac:dyDescent="0.25">
      <c r="A33" t="s">
        <v>52</v>
      </c>
      <c r="B33" s="1">
        <f>VLOOKUP(A33,Table1[#All],4,FALSE)</f>
        <v>114691.03</v>
      </c>
      <c r="C33" t="str">
        <f>VLOOKUP(A33,Table1[#All],3,FALSE)</f>
        <v>Training</v>
      </c>
    </row>
    <row r="34" spans="1:3" x14ac:dyDescent="0.25">
      <c r="A34" t="s">
        <v>54</v>
      </c>
      <c r="B34" s="1">
        <f>VLOOKUP(A34,Table1[#All],4,FALSE)</f>
        <v>31172.77</v>
      </c>
      <c r="C34" t="str">
        <f>VLOOKUP(A34,Table1[#All],3,FALSE)</f>
        <v>Services</v>
      </c>
    </row>
    <row r="35" spans="1:3" x14ac:dyDescent="0.25">
      <c r="A35" t="s">
        <v>55</v>
      </c>
      <c r="B35" s="1">
        <f>VLOOKUP(A35,Table1[#All],4,FALSE)</f>
        <v>80169.42</v>
      </c>
      <c r="C35" t="str">
        <f>VLOOKUP(A35,Table1[#All],3,FALSE)</f>
        <v>Business Development</v>
      </c>
    </row>
    <row r="36" spans="1:3" x14ac:dyDescent="0.25">
      <c r="A36" t="s">
        <v>56</v>
      </c>
      <c r="B36" s="1">
        <f>VLOOKUP(A36,Table1[#All],4,FALSE)</f>
        <v>58935.92</v>
      </c>
      <c r="C36" t="str">
        <f>VLOOKUP(A36,Table1[#All],3,FALSE)</f>
        <v>Support</v>
      </c>
    </row>
    <row r="37" spans="1:3" x14ac:dyDescent="0.25">
      <c r="A37" t="s">
        <v>57</v>
      </c>
      <c r="B37" s="1">
        <f>VLOOKUP(A37,Table1[#All],4,FALSE)</f>
        <v>63555.73</v>
      </c>
      <c r="C37" t="str">
        <f>VLOOKUP(A37,Table1[#All],3,FALSE)</f>
        <v>Support</v>
      </c>
    </row>
    <row r="38" spans="1:3" x14ac:dyDescent="0.25">
      <c r="A38" t="s">
        <v>59</v>
      </c>
      <c r="B38" s="1">
        <f>VLOOKUP(A38,Table1[#All],4,FALSE)</f>
        <v>44403.77</v>
      </c>
      <c r="C38" t="str">
        <f>VLOOKUP(A38,Table1[#All],3,FALSE)</f>
        <v>Services</v>
      </c>
    </row>
  </sheetData>
  <mergeCells count="3">
    <mergeCell ref="H4:K4"/>
    <mergeCell ref="H6:K6"/>
    <mergeCell ref="F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Retrived_Data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2025-08-15T10:12:16Z</dcterms:created>
  <dcterms:modified xsi:type="dcterms:W3CDTF">2025-08-15T10:23:13Z</dcterms:modified>
</cp:coreProperties>
</file>