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4. Relative_Absolute_Mixed Referencing\"/>
    </mc:Choice>
  </mc:AlternateContent>
  <xr:revisionPtr revIDLastSave="0" documentId="13_ncr:1_{4800D679-B55E-48CD-97B2-129BA571473A}" xr6:coauthVersionLast="47" xr6:coauthVersionMax="47" xr10:uidLastSave="{00000000-0000-0000-0000-000000000000}"/>
  <bookViews>
    <workbookView xWindow="-120" yWindow="-120" windowWidth="20730" windowHeight="11760" xr2:uid="{F17D41FD-BEC4-4D2C-9DAF-3207698728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" l="1"/>
  <c r="L23" i="1"/>
  <c r="L14" i="1"/>
  <c r="L15" i="1"/>
  <c r="L16" i="1"/>
  <c r="L17" i="1"/>
  <c r="L18" i="1"/>
  <c r="L19" i="1"/>
  <c r="L20" i="1"/>
  <c r="L21" i="1"/>
  <c r="L22" i="1"/>
  <c r="L13" i="1"/>
  <c r="L9" i="1"/>
  <c r="L7" i="1"/>
  <c r="L4" i="1"/>
  <c r="L3" i="1"/>
</calcChain>
</file>

<file path=xl/sharedStrings.xml><?xml version="1.0" encoding="utf-8"?>
<sst xmlns="http://schemas.openxmlformats.org/spreadsheetml/2006/main" count="1094" uniqueCount="394">
  <si>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</si>
  <si>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</si>
  <si>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</si>
  <si>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</si>
  <si>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</si>
  <si>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</si>
  <si>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</si>
  <si>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</si>
  <si>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</si>
  <si>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</si>
  <si>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</si>
  <si>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</si>
  <si>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</si>
  <si>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</si>
  <si>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</si>
  <si>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</si>
  <si>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</si>
  <si>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</si>
  <si>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</si>
  <si>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</si>
  <si>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</si>
  <si>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</si>
  <si>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</si>
  <si>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</si>
  <si>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</si>
  <si>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Fixed Term</t>
  </si>
  <si>
    <t>TN02749</t>
  </si>
  <si>
    <t>Mackenzie Hannis</t>
  </si>
  <si>
    <t>Hyderabad, India</t>
  </si>
  <si>
    <t>SQ00144</t>
  </si>
  <si>
    <t>Collen Dunbleton</t>
  </si>
  <si>
    <t>Engineering</t>
  </si>
  <si>
    <t>Wellington, New Zealand</t>
  </si>
  <si>
    <t>PR04601</t>
  </si>
  <si>
    <t>Nananne Gehringer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</si>
  <si>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</si>
  <si>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</si>
  <si>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</si>
  <si>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</si>
  <si>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</si>
  <si>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</si>
  <si>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</si>
  <si>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</si>
  <si>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</si>
  <si>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</si>
  <si>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</si>
  <si>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TN01281</t>
  </si>
  <si>
    <t xml:space="preserve">Cletus McGarahan </t>
  </si>
  <si>
    <t>PR04473</t>
  </si>
  <si>
    <t xml:space="preserve"> Wyn Treadger</t>
  </si>
  <si>
    <t>Columbus, USA</t>
  </si>
  <si>
    <t>VT02417</t>
  </si>
  <si>
    <t>Evangelina Lergan</t>
  </si>
  <si>
    <t>Temporary</t>
  </si>
  <si>
    <t>Auckland, New Zealand</t>
  </si>
  <si>
    <t>SQ00691</t>
  </si>
  <si>
    <t>Verla Timmis</t>
  </si>
  <si>
    <t>TN00214</t>
  </si>
  <si>
    <t>Jo-anne Gobeau</t>
  </si>
  <si>
    <t>Chennai, India</t>
  </si>
  <si>
    <t>VT02539</t>
  </si>
  <si>
    <t>Devinne Tuny</t>
  </si>
  <si>
    <t>SQ04598</t>
  </si>
  <si>
    <t>Pearla  Beteriss</t>
  </si>
  <si>
    <t>TN00464</t>
  </si>
  <si>
    <t>Maritsa Marusic</t>
  </si>
  <si>
    <t>PR00893</t>
  </si>
  <si>
    <t>Daisie McNeice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</si>
  <si>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</si>
  <si>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</si>
  <si>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</si>
  <si>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</si>
  <si>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</si>
  <si>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</si>
  <si>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</si>
  <si>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TN03416</t>
  </si>
  <si>
    <t>Seward Kubera</t>
  </si>
  <si>
    <t>TN00890</t>
  </si>
  <si>
    <t>Dean Biggam</t>
  </si>
  <si>
    <t>VT04137</t>
  </si>
  <si>
    <t>Marissa Infante</t>
  </si>
  <si>
    <t>PR02603</t>
  </si>
  <si>
    <t>Daisie Dahlman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</si>
  <si>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</si>
  <si>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</si>
  <si>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</si>
  <si>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</si>
  <si>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</si>
  <si>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</si>
  <si>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</si>
  <si>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SQ01395</t>
  </si>
  <si>
    <t>Dennison Crosswaite</t>
  </si>
  <si>
    <t>Legal</t>
  </si>
  <si>
    <t>SQ02559</t>
  </si>
  <si>
    <t>Aldrich  Glenny</t>
  </si>
  <si>
    <t>VT04627</t>
  </si>
  <si>
    <t>Yvette  Bett</t>
  </si>
  <si>
    <t>VT03537</t>
  </si>
  <si>
    <t>Renaldo Thomassin</t>
  </si>
  <si>
    <t>PR01951</t>
  </si>
  <si>
    <t xml:space="preserve">Aloise MacCathay </t>
  </si>
  <si>
    <t>PR01662</t>
  </si>
  <si>
    <t>Genevra Friday</t>
  </si>
  <si>
    <t>VT02313</t>
  </si>
  <si>
    <t>Thekla Lynnett</t>
  </si>
  <si>
    <t>SQ01620</t>
  </si>
  <si>
    <t>Westbrook Brandino</t>
  </si>
  <si>
    <t>VT04681</t>
  </si>
  <si>
    <t>Nickolai  Artin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</si>
  <si>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</si>
  <si>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</si>
  <si>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</si>
  <si>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</si>
  <si>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</si>
  <si>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</si>
  <si>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SQ01177</t>
  </si>
  <si>
    <t>Riccardo Hagan</t>
  </si>
  <si>
    <t>VT01740</t>
  </si>
  <si>
    <t>Ginger  Myott</t>
  </si>
  <si>
    <t>TN01876</t>
  </si>
  <si>
    <t>Aileen McCritchie</t>
  </si>
  <si>
    <t>VT03988</t>
  </si>
  <si>
    <t>Oby Sorrel</t>
  </si>
  <si>
    <t>TN00227</t>
  </si>
  <si>
    <t>Lincoln Cord</t>
  </si>
  <si>
    <t>VT01092</t>
  </si>
  <si>
    <t>Tabby  Astall</t>
  </si>
  <si>
    <t>TN03169</t>
  </si>
  <si>
    <t>Doe Clubley</t>
  </si>
  <si>
    <t>SQ01402</t>
  </si>
  <si>
    <t>Julietta Culross</t>
  </si>
  <si>
    <t>SQ00360</t>
  </si>
  <si>
    <t xml:space="preserve">Orlando Gorstidge </t>
  </si>
  <si>
    <t>PR02208</t>
  </si>
  <si>
    <t>Vernor Atyea</t>
  </si>
  <si>
    <t>SQ01637</t>
  </si>
  <si>
    <t xml:space="preserve"> Joaquin McVitty</t>
  </si>
  <si>
    <t>TN03210</t>
  </si>
  <si>
    <t>Kellsie Waby</t>
  </si>
  <si>
    <t>PR03844</t>
  </si>
  <si>
    <t>Brose MacCorkell</t>
  </si>
  <si>
    <t>VT04093</t>
  </si>
  <si>
    <t>Ewart Hovel</t>
  </si>
  <si>
    <t>SQ02246</t>
  </si>
  <si>
    <t xml:space="preserve">Matias Cormack </t>
  </si>
  <si>
    <t>TN03032</t>
  </si>
  <si>
    <t xml:space="preserve">Debera Gow </t>
  </si>
  <si>
    <t>SQ00914</t>
  </si>
  <si>
    <t>Ansley Gounel</t>
  </si>
  <si>
    <t>SQ02525</t>
  </si>
  <si>
    <t>Mickie Dagwell</t>
  </si>
  <si>
    <t>TN02667</t>
  </si>
  <si>
    <t>Lizzie Mullally</t>
  </si>
  <si>
    <t>PR02782</t>
  </si>
  <si>
    <t>Isaak Rawne</t>
  </si>
  <si>
    <t>TN03331</t>
  </si>
  <si>
    <t>Crawford Scad</t>
  </si>
  <si>
    <t>VT01249</t>
  </si>
  <si>
    <t>Brendan  Edgeller</t>
  </si>
  <si>
    <t>PR00576</t>
  </si>
  <si>
    <t>Lion  Adcock</t>
  </si>
  <si>
    <t>VT02260</t>
  </si>
  <si>
    <t>Rhiamon Mollison</t>
  </si>
  <si>
    <t>TN02883</t>
  </si>
  <si>
    <t>Iain Wiburn</t>
  </si>
  <si>
    <t>SQ03024</t>
  </si>
  <si>
    <t>Inge Creer</t>
  </si>
  <si>
    <t>TN04428</t>
  </si>
  <si>
    <t>Tadio Audritt</t>
  </si>
  <si>
    <t>SQ03350</t>
  </si>
  <si>
    <t>Felice McMurty</t>
  </si>
  <si>
    <t>VT03421</t>
  </si>
  <si>
    <t>Alic Bagg</t>
  </si>
  <si>
    <t>PR01346</t>
  </si>
  <si>
    <t>Adolph McNalley</t>
  </si>
  <si>
    <t>VT02118</t>
  </si>
  <si>
    <t>Northrop Reid</t>
  </si>
  <si>
    <t>PR00210</t>
  </si>
  <si>
    <t>Marquita Liquorish</t>
  </si>
  <si>
    <t>TN02496</t>
  </si>
  <si>
    <t>Anjanette Ferre</t>
  </si>
  <si>
    <t>VT02491</t>
  </si>
  <si>
    <t>Alexis Gotfrey</t>
  </si>
  <si>
    <t>PR03980</t>
  </si>
  <si>
    <t xml:space="preserve"> Kath Bletsoe</t>
  </si>
  <si>
    <t>VT03307</t>
  </si>
  <si>
    <t>Tallie Chaikovski</t>
  </si>
  <si>
    <t>TN04058</t>
  </si>
  <si>
    <t>Bari Toffano</t>
  </si>
  <si>
    <t>VT03993</t>
  </si>
  <si>
    <t>Dulce Colbeck</t>
  </si>
  <si>
    <t>VT02663</t>
  </si>
  <si>
    <t>Ignacius Losel</t>
  </si>
  <si>
    <t>PR03034</t>
  </si>
  <si>
    <t>Estell Kingsland</t>
  </si>
  <si>
    <t>PR01159</t>
  </si>
  <si>
    <t>Mollie  Hanway</t>
  </si>
  <si>
    <t>SQ03476</t>
  </si>
  <si>
    <t>Inger Andriveaux</t>
  </si>
  <si>
    <t>PR04380</t>
  </si>
  <si>
    <t>Van Tuxwell</t>
  </si>
  <si>
    <t>TN00182</t>
  </si>
  <si>
    <t>Camilla Castle</t>
  </si>
  <si>
    <t>VT01523</t>
  </si>
  <si>
    <t>Charmane Heistermann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</si>
  <si>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</si>
  <si>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</si>
  <si>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</si>
  <si>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</si>
  <si>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</si>
  <si>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</si>
  <si>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</si>
  <si>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</si>
  <si>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</si>
  <si>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</si>
  <si>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VT04984</t>
  </si>
  <si>
    <t>Dell Molloy</t>
  </si>
  <si>
    <t>PR00095</t>
  </si>
  <si>
    <t>Ardella Dyment</t>
  </si>
  <si>
    <t>SQ03546</t>
  </si>
  <si>
    <t>Alexandros Rackley</t>
  </si>
  <si>
    <t>VT02374</t>
  </si>
  <si>
    <t>Delphine Jewis</t>
  </si>
  <si>
    <t>SQ00450</t>
  </si>
  <si>
    <t xml:space="preserve"> Louise Lamming</t>
  </si>
  <si>
    <t>PR03804</t>
  </si>
  <si>
    <t>Vere Kulic</t>
  </si>
  <si>
    <t>SQ04488</t>
  </si>
  <si>
    <t>Yanaton Wooster</t>
  </si>
  <si>
    <t>TN00735</t>
  </si>
  <si>
    <t>Caresa Christer</t>
  </si>
  <si>
    <t>VT01893</t>
  </si>
  <si>
    <t>Lindy Guillet</t>
  </si>
  <si>
    <t>SQ02223</t>
  </si>
  <si>
    <t xml:space="preserve"> Pippy Shepperd</t>
  </si>
  <si>
    <t>PR02010</t>
  </si>
  <si>
    <t>Eilis Pavlasek</t>
  </si>
  <si>
    <t>SQ00498</t>
  </si>
  <si>
    <t>Amery Ofer</t>
  </si>
  <si>
    <t>PR02113</t>
  </si>
  <si>
    <t>Beverie Moffet</t>
  </si>
  <si>
    <t>TN00727</t>
  </si>
  <si>
    <t>Dulsea Folkes</t>
  </si>
  <si>
    <t>SQ01697</t>
  </si>
  <si>
    <t>Frasier Straw</t>
  </si>
  <si>
    <t>SQ01519</t>
  </si>
  <si>
    <t>Caron Kolakovic</t>
  </si>
  <si>
    <t>VT03500</t>
  </si>
  <si>
    <t>Floyd  Cowgill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</si>
  <si>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</si>
  <si>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</si>
  <si>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</si>
  <si>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</si>
  <si>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</si>
  <si>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</si>
  <si>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</si>
  <si>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Dave Lacoste</t>
  </si>
  <si>
    <t>SQ03321</t>
  </si>
  <si>
    <t>Gradey Litton</t>
  </si>
  <si>
    <t>SQ00841</t>
  </si>
  <si>
    <t>SQ04603</t>
  </si>
  <si>
    <t>Natalee Craiker</t>
  </si>
  <si>
    <t>TN01028</t>
  </si>
  <si>
    <t>Alicea Pudsall</t>
  </si>
  <si>
    <t>VT04028</t>
  </si>
  <si>
    <t>Michale Rolf</t>
  </si>
  <si>
    <t>TN03068</t>
  </si>
  <si>
    <t>Dare Tully</t>
  </si>
  <si>
    <t>VT03701</t>
  </si>
  <si>
    <t>Richy Gray</t>
  </si>
  <si>
    <t>TN04101</t>
  </si>
  <si>
    <t>Marline Wahncke</t>
  </si>
  <si>
    <t>TN01632</t>
  </si>
  <si>
    <t>Katya Hundy</t>
  </si>
  <si>
    <t>PR01956</t>
  </si>
  <si>
    <t xml:space="preserve"> Jamesy O'Ferris</t>
  </si>
  <si>
    <t>PR02140</t>
  </si>
  <si>
    <t>Fanchon Furney</t>
  </si>
  <si>
    <t>SQ03626</t>
  </si>
  <si>
    <t>Easter Pyke</t>
  </si>
  <si>
    <t>VT01610</t>
  </si>
  <si>
    <t>Gilles Jaquet</t>
  </si>
  <si>
    <t>TN00129</t>
  </si>
  <si>
    <t>Grazia Bunkle</t>
  </si>
  <si>
    <t>TN01340</t>
  </si>
  <si>
    <t>Granny Spencelayh</t>
  </si>
  <si>
    <t>TN00698</t>
  </si>
  <si>
    <t>Barbara-anne Kenchington</t>
  </si>
  <si>
    <t>SQ00960</t>
  </si>
  <si>
    <t>Calvin O'Carroll</t>
  </si>
  <si>
    <t>SQ01998</t>
  </si>
  <si>
    <t>Layton Crayden</t>
  </si>
  <si>
    <t>PR04446</t>
  </si>
  <si>
    <t>Giffer Berlin</t>
  </si>
  <si>
    <t>SQ01283</t>
  </si>
  <si>
    <t>Barr Faughny</t>
  </si>
  <si>
    <t>SQ01026</t>
  </si>
  <si>
    <t>Faun Rickeard</t>
  </si>
  <si>
    <t>TN01912</t>
  </si>
  <si>
    <t xml:space="preserve"> Fred Dudeney</t>
  </si>
  <si>
    <t>VT02319</t>
  </si>
  <si>
    <t>Aluin Churly</t>
  </si>
  <si>
    <t>SQ04960</t>
  </si>
  <si>
    <t>Gilda Richen</t>
  </si>
  <si>
    <t>SQ01829</t>
  </si>
  <si>
    <t>Mabel Orrow</t>
  </si>
  <si>
    <t>SQ00022</t>
  </si>
  <si>
    <t>Carlin Demke</t>
  </si>
  <si>
    <t>TN02798</t>
  </si>
  <si>
    <t>Thorvald Milliken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</si>
  <si>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</si>
  <si>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</si>
  <si>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</si>
  <si>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</si>
  <si>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</si>
  <si>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</si>
  <si>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</si>
  <si>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</si>
  <si>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VT03704</t>
  </si>
  <si>
    <t>Egor Minto</t>
  </si>
  <si>
    <t>VT04552</t>
  </si>
  <si>
    <t>Theresita Chasmer</t>
  </si>
  <si>
    <t>SQ04665</t>
  </si>
  <si>
    <t>Collin Jagson</t>
  </si>
  <si>
    <t>VT00336</t>
  </si>
  <si>
    <t>Giselbert Newlands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</si>
  <si>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</si>
  <si>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</si>
  <si>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</si>
  <si>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</si>
  <si>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</si>
  <si>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</si>
  <si>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</si>
  <si>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</si>
  <si>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</si>
  <si>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VT03552</t>
  </si>
  <si>
    <t>Karyn Creeghan</t>
  </si>
  <si>
    <t>TN00083</t>
  </si>
  <si>
    <t>Tammi Lackham</t>
  </si>
  <si>
    <t>TN01389</t>
  </si>
  <si>
    <t>Shantee  D'Antonio</t>
  </si>
  <si>
    <t>SQ02643</t>
  </si>
  <si>
    <t>Niko MacGille</t>
  </si>
  <si>
    <t>TN02674</t>
  </si>
  <si>
    <t>Antonetta  Coggeshall</t>
  </si>
  <si>
    <t>TN02727</t>
  </si>
  <si>
    <t>Wald Bountiff</t>
  </si>
  <si>
    <t>VT01323</t>
  </si>
  <si>
    <t>Lissy McCoy</t>
  </si>
  <si>
    <t>PR03886</t>
  </si>
  <si>
    <t>Edd  MacKnockiter</t>
  </si>
  <si>
    <t>PR00746</t>
  </si>
  <si>
    <t>Hogan Iles</t>
  </si>
  <si>
    <t>SQ03387</t>
  </si>
  <si>
    <t>Robinia Scholling</t>
  </si>
  <si>
    <t>SQ00105</t>
  </si>
  <si>
    <t>Melisa Knott</t>
  </si>
  <si>
    <t>SQ02424</t>
  </si>
  <si>
    <t>Novelia Pyffe</t>
  </si>
  <si>
    <t>VT01703</t>
  </si>
  <si>
    <t>Abigael Basire</t>
  </si>
  <si>
    <t>SQ02703</t>
  </si>
  <si>
    <t>North Bertomeu</t>
  </si>
  <si>
    <t>VT04373</t>
  </si>
  <si>
    <t>Edi  Hofton</t>
  </si>
  <si>
    <t>SQ03733</t>
  </si>
  <si>
    <t>Revkah Antonacci</t>
  </si>
  <si>
    <t>VT04467</t>
  </si>
  <si>
    <t xml:space="preserve">Carolyn Attack </t>
  </si>
  <si>
    <t>PR02016</t>
  </si>
  <si>
    <t>Iris  Wagg</t>
  </si>
  <si>
    <t>VT04415</t>
  </si>
  <si>
    <t>Malory Biles</t>
  </si>
  <si>
    <t>TN04067</t>
  </si>
  <si>
    <t>Lea Chaplin</t>
  </si>
  <si>
    <t>TN04175</t>
  </si>
  <si>
    <t xml:space="preserve">Hinda Label </t>
  </si>
  <si>
    <t>VT00687</t>
  </si>
  <si>
    <t>Adrianne Gave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</si>
  <si>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</si>
  <si>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</si>
  <si>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</si>
  <si>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</si>
  <si>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</si>
  <si>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</si>
  <si>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SQ02174</t>
  </si>
  <si>
    <t>Sidoney Yitzhok</t>
  </si>
  <si>
    <t>PR02957</t>
  </si>
  <si>
    <t>Vaughn Carvill</t>
  </si>
  <si>
    <t>Name with Min Salary</t>
  </si>
  <si>
    <t>Name with Max Salary</t>
  </si>
  <si>
    <t>Total Salary</t>
  </si>
  <si>
    <t>Total Employees</t>
  </si>
  <si>
    <t>Department wise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</si>
</sst>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1" fillId="0" borderId="0" xfId="0" applyFont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3">
    <dxf>
      <numFmt numFmtId="165" formatCode="&quot;₹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39373-84B4-418D-A6F8-6A63942D190F}" name="Table1" displayName="Table1" ref="A1:I180" totalsRowShown="0" headerRowDxfId="2">
  <autoFilter ref="A1:I180" xr:uid="{55B39373-84B4-418D-A6F8-6A63942D190F}"/>
  <tableColumns count="9">
    <tableColumn id="1" xr3:uid="{2F608DC0-7CFF-433D-A765-44F78158F6EF}" name="Emp ID"/>
    <tableColumn id="2" xr3:uid="{AA9ADE3D-CD52-4E39-8783-656A68D12D81}" name="Name"/>
    <tableColumn id="3" xr3:uid="{8A4B4EF8-7482-414D-A45D-B5DF7440A614}" name="Gender"/>
    <tableColumn id="4" xr3:uid="{AB5B329C-ED99-40E1-BDA2-76DD19C16FC3}" name="Department"/>
    <tableColumn id="5" xr3:uid="{70AA5C83-0ACE-44AE-BEE7-1679749E51B3}" name="Salary" dataDxfId="0"/>
    <tableColumn id="6" xr3:uid="{7A5A816E-C9B9-440E-B3CF-089C08F44904}" name="Start Date" dataDxfId="1"/>
    <tableColumn id="7" xr3:uid="{EE0D57B6-C780-4444-BFDA-EF07442ED0A2}" name="FTE"/>
    <tableColumn id="8" xr3:uid="{7FC34D58-2815-47D7-BD4F-86A194F9CEBB}" name="Employee type"/>
    <tableColumn id="9" xr3:uid="{0AA91575-30F4-4249-A8DC-946E8C72DF8B}" name="Work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7783-79A6-4E3D-8F76-12EE78D63A04}">
  <dimension ref="A1:L197"/>
  <sheetViews>
    <sheetView tabSelected="1" zoomScale="85" zoomScaleNormal="85" workbookViewId="0">
      <selection activeCell="K17" sqref="K17"/>
    </sheetView>
  </sheetViews>
  <sheetFormatPr defaultRowHeight="15" x14ac:dyDescent="0.25"/>
  <cols>
    <col min="1" max="1" width="9.28515625" customWidth="1"/>
    <col min="2" max="2" width="24.85546875" bestFit="1" customWidth="1"/>
    <col min="3" max="3" width="9.85546875" customWidth="1"/>
    <col min="4" max="4" width="25.85546875" bestFit="1" customWidth="1"/>
    <col min="5" max="5" width="12.28515625" style="4" bestFit="1" customWidth="1"/>
    <col min="6" max="6" width="12.7109375" style="3" bestFit="1" customWidth="1"/>
    <col min="7" max="7" width="6.140625" customWidth="1"/>
    <col min="8" max="8" width="16.42578125" customWidth="1"/>
    <col min="9" max="9" width="23.85546875" bestFit="1" customWidth="1"/>
    <col min="11" max="11" width="25.85546875" bestFit="1" customWidth="1"/>
    <col min="12" max="12" width="17.42578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21</v>
      </c>
      <c r="E2" s="4">
        <v>105468.7</v>
      </c>
      <c r="F2" s="3">
        <v>43416</v>
      </c>
      <c r="G2">
        <v>1</v>
      </c>
      <c r="H2" t="s">
        <v>12</v>
      </c>
      <c r="I2" t="s">
        <v>13</v>
      </c>
    </row>
    <row r="3" spans="1:12" x14ac:dyDescent="0.25">
      <c r="A3" t="s">
        <v>14</v>
      </c>
      <c r="B3" t="s">
        <v>15</v>
      </c>
      <c r="C3" t="s">
        <v>16</v>
      </c>
      <c r="D3" t="s">
        <v>17</v>
      </c>
      <c r="E3" s="4">
        <v>88360.79</v>
      </c>
      <c r="F3" s="3">
        <v>43710</v>
      </c>
      <c r="G3">
        <v>1</v>
      </c>
      <c r="H3" t="s">
        <v>12</v>
      </c>
      <c r="I3" t="s">
        <v>18</v>
      </c>
      <c r="K3" s="7" t="s">
        <v>389</v>
      </c>
      <c r="L3" t="str">
        <f>INDEX(Table1[Name],MATCH(MIN(Table1[Salary]),Table1[Salary],0))</f>
        <v>Lizzie Mullally</v>
      </c>
    </row>
    <row r="4" spans="1:12" x14ac:dyDescent="0.25">
      <c r="A4" t="s">
        <v>19</v>
      </c>
      <c r="B4" t="s">
        <v>20</v>
      </c>
      <c r="C4" t="s">
        <v>16</v>
      </c>
      <c r="D4" t="s">
        <v>21</v>
      </c>
      <c r="E4" s="4">
        <v>85879.23</v>
      </c>
      <c r="F4" s="3">
        <v>43902</v>
      </c>
      <c r="G4">
        <v>1</v>
      </c>
      <c r="H4" t="s">
        <v>12</v>
      </c>
      <c r="I4" t="s">
        <v>13</v>
      </c>
      <c r="K4" s="1" t="s">
        <v>390</v>
      </c>
      <c r="L4" t="str">
        <f>INDEX(Table1[Name],MATCH(MAX(Table1[Salary]),Table1[Salary],0))</f>
        <v>Edd  MacKnockiter</v>
      </c>
    </row>
    <row r="5" spans="1:12" x14ac:dyDescent="0.25">
      <c r="A5" t="s">
        <v>22</v>
      </c>
      <c r="B5" t="s">
        <v>23</v>
      </c>
      <c r="C5" t="s">
        <v>16</v>
      </c>
      <c r="D5" t="s">
        <v>24</v>
      </c>
      <c r="E5" s="4">
        <v>93128.34</v>
      </c>
      <c r="F5" s="3">
        <v>43164</v>
      </c>
      <c r="G5">
        <v>1</v>
      </c>
      <c r="H5" t="s">
        <v>25</v>
      </c>
      <c r="I5" t="s">
        <v>18</v>
      </c>
      <c r="K5" s="1"/>
    </row>
    <row r="6" spans="1:12" x14ac:dyDescent="0.25">
      <c r="A6" t="s">
        <v>26</v>
      </c>
      <c r="B6" t="s">
        <v>27</v>
      </c>
      <c r="C6" t="s">
        <v>16</v>
      </c>
      <c r="D6" t="s">
        <v>24</v>
      </c>
      <c r="E6" s="4">
        <v>57002.02</v>
      </c>
      <c r="F6" s="3">
        <v>43192</v>
      </c>
      <c r="G6">
        <v>0.7</v>
      </c>
      <c r="H6" t="s">
        <v>12</v>
      </c>
      <c r="I6" t="s">
        <v>28</v>
      </c>
      <c r="K6" s="1"/>
    </row>
    <row r="7" spans="1:12" x14ac:dyDescent="0.25">
      <c r="A7" t="s">
        <v>29</v>
      </c>
      <c r="B7" t="s">
        <v>30</v>
      </c>
      <c r="C7" t="s">
        <v>11</v>
      </c>
      <c r="D7" t="s">
        <v>31</v>
      </c>
      <c r="E7" s="4">
        <v>118976.16</v>
      </c>
      <c r="F7" s="3">
        <v>44120</v>
      </c>
      <c r="G7">
        <v>1</v>
      </c>
      <c r="H7" t="s">
        <v>12</v>
      </c>
      <c r="I7" t="s">
        <v>32</v>
      </c>
      <c r="K7" s="1" t="s">
        <v>391</v>
      </c>
      <c r="L7" s="4">
        <f>SUM(Table1[Salary])</f>
        <v>12768490.92999999</v>
      </c>
    </row>
    <row r="8" spans="1:12" x14ac:dyDescent="0.25">
      <c r="A8" t="s">
        <v>33</v>
      </c>
      <c r="B8" t="s">
        <v>34</v>
      </c>
      <c r="D8" t="s">
        <v>35</v>
      </c>
      <c r="E8" s="4">
        <v>104802.63</v>
      </c>
      <c r="F8" s="3">
        <v>44502</v>
      </c>
      <c r="G8">
        <v>1</v>
      </c>
      <c r="H8" t="s">
        <v>12</v>
      </c>
      <c r="I8" t="s">
        <v>28</v>
      </c>
      <c r="K8" s="1"/>
    </row>
    <row r="9" spans="1:12" x14ac:dyDescent="0.25">
      <c r="A9" t="s">
        <v>36</v>
      </c>
      <c r="B9" t="s">
        <v>37</v>
      </c>
      <c r="C9" t="s">
        <v>16</v>
      </c>
      <c r="D9" t="s">
        <v>38</v>
      </c>
      <c r="E9" s="4">
        <v>66017.179999999993</v>
      </c>
      <c r="F9" s="3">
        <v>43643</v>
      </c>
      <c r="G9">
        <v>0.9</v>
      </c>
      <c r="H9" t="s">
        <v>12</v>
      </c>
      <c r="I9" t="s">
        <v>13</v>
      </c>
      <c r="K9" s="1" t="s">
        <v>392</v>
      </c>
      <c r="L9">
        <f>COUNTA(Table1[Emp ID])</f>
        <v>179</v>
      </c>
    </row>
    <row r="10" spans="1:12" x14ac:dyDescent="0.25">
      <c r="A10" t="s">
        <v>39</v>
      </c>
      <c r="B10" t="s">
        <v>40</v>
      </c>
      <c r="C10" t="s">
        <v>11</v>
      </c>
      <c r="D10" t="s">
        <v>41</v>
      </c>
      <c r="E10" s="4">
        <v>74279.009999999995</v>
      </c>
      <c r="F10" s="3">
        <v>43466</v>
      </c>
      <c r="G10">
        <v>1</v>
      </c>
      <c r="H10" t="s">
        <v>12</v>
      </c>
      <c r="I10" t="s">
        <v>32</v>
      </c>
    </row>
    <row r="11" spans="1:12" x14ac:dyDescent="0.25">
      <c r="A11" t="s">
        <v>42</v>
      </c>
      <c r="B11" t="s">
        <v>43</v>
      </c>
      <c r="C11" t="s">
        <v>16</v>
      </c>
      <c r="D11" t="s">
        <v>17</v>
      </c>
      <c r="E11" s="4">
        <v>68980.52</v>
      </c>
      <c r="F11" s="3">
        <v>43494</v>
      </c>
      <c r="G11">
        <v>0.8</v>
      </c>
      <c r="H11" t="s">
        <v>12</v>
      </c>
      <c r="I11" t="s">
        <v>13</v>
      </c>
    </row>
    <row r="12" spans="1:12" x14ac:dyDescent="0.25">
      <c r="A12" t="s">
        <v>44</v>
      </c>
      <c r="B12" t="s">
        <v>45</v>
      </c>
      <c r="C12" t="s">
        <v>16</v>
      </c>
      <c r="D12" t="s">
        <v>21</v>
      </c>
      <c r="E12" s="4">
        <v>42314.39</v>
      </c>
      <c r="F12" s="3">
        <v>44487</v>
      </c>
      <c r="G12">
        <v>1</v>
      </c>
      <c r="H12" t="s">
        <v>25</v>
      </c>
      <c r="I12" t="s">
        <v>13</v>
      </c>
      <c r="K12" s="6" t="s">
        <v>393</v>
      </c>
      <c r="L12" s="6"/>
    </row>
    <row r="13" spans="1:12" x14ac:dyDescent="0.25">
      <c r="A13" t="s">
        <v>46</v>
      </c>
      <c r="B13" t="s">
        <v>47</v>
      </c>
      <c r="C13" t="s">
        <v>16</v>
      </c>
      <c r="D13" t="s">
        <v>31</v>
      </c>
      <c r="E13" s="4">
        <v>114425.19</v>
      </c>
      <c r="F13" s="3">
        <v>43857</v>
      </c>
      <c r="G13">
        <v>1</v>
      </c>
      <c r="H13" t="s">
        <v>12</v>
      </c>
      <c r="I13" t="s">
        <v>32</v>
      </c>
      <c r="K13" t="s">
        <v>17</v>
      </c>
      <c r="L13">
        <f>COUNTIF(Table1[Department],K13)</f>
        <v>18</v>
      </c>
    </row>
    <row r="14" spans="1:12" x14ac:dyDescent="0.25">
      <c r="A14" t="s">
        <v>48</v>
      </c>
      <c r="B14" t="s">
        <v>49</v>
      </c>
      <c r="C14" t="s">
        <v>16</v>
      </c>
      <c r="D14" t="s">
        <v>17</v>
      </c>
      <c r="E14" s="4">
        <v>69192.850000000006</v>
      </c>
      <c r="F14" s="3">
        <v>44305</v>
      </c>
      <c r="G14">
        <v>1</v>
      </c>
      <c r="H14" t="s">
        <v>12</v>
      </c>
      <c r="I14" t="s">
        <v>50</v>
      </c>
      <c r="K14" t="s">
        <v>21</v>
      </c>
      <c r="L14">
        <f>COUNTIF(Table1[Department],K14)</f>
        <v>22</v>
      </c>
    </row>
    <row r="15" spans="1:12" x14ac:dyDescent="0.25">
      <c r="A15" t="s">
        <v>51</v>
      </c>
      <c r="B15" t="s">
        <v>52</v>
      </c>
      <c r="C15" t="s">
        <v>11</v>
      </c>
      <c r="D15" t="s">
        <v>35</v>
      </c>
      <c r="E15" s="4">
        <v>61214.26</v>
      </c>
      <c r="F15" s="3">
        <v>43171</v>
      </c>
      <c r="G15">
        <v>1</v>
      </c>
      <c r="H15" t="s">
        <v>53</v>
      </c>
      <c r="I15" t="s">
        <v>54</v>
      </c>
      <c r="K15" t="s">
        <v>24</v>
      </c>
      <c r="L15">
        <f>COUNTIF(Table1[Department],K15)</f>
        <v>16</v>
      </c>
    </row>
    <row r="16" spans="1:12" x14ac:dyDescent="0.25">
      <c r="A16" t="s">
        <v>55</v>
      </c>
      <c r="B16" t="s">
        <v>56</v>
      </c>
      <c r="C16" t="s">
        <v>11</v>
      </c>
      <c r="D16" t="s">
        <v>35</v>
      </c>
      <c r="E16" s="4">
        <v>54137.05</v>
      </c>
      <c r="F16" s="3">
        <v>43763</v>
      </c>
      <c r="G16">
        <v>1</v>
      </c>
      <c r="H16" t="s">
        <v>12</v>
      </c>
      <c r="I16" t="s">
        <v>13</v>
      </c>
      <c r="K16" t="s">
        <v>31</v>
      </c>
      <c r="L16">
        <f>COUNTIF(Table1[Department],K16)</f>
        <v>13</v>
      </c>
    </row>
    <row r="17" spans="1:12" x14ac:dyDescent="0.25">
      <c r="A17" t="s">
        <v>57</v>
      </c>
      <c r="B17" t="s">
        <v>58</v>
      </c>
      <c r="C17" t="s">
        <v>16</v>
      </c>
      <c r="D17" t="s">
        <v>24</v>
      </c>
      <c r="E17" s="4">
        <v>37902.35</v>
      </c>
      <c r="F17" s="3">
        <v>43823</v>
      </c>
      <c r="G17">
        <v>1</v>
      </c>
      <c r="H17" t="s">
        <v>12</v>
      </c>
      <c r="I17" t="s">
        <v>59</v>
      </c>
      <c r="K17" t="s">
        <v>35</v>
      </c>
      <c r="L17">
        <f>COUNTIF(Table1[Department],K17)</f>
        <v>15</v>
      </c>
    </row>
    <row r="18" spans="1:12" x14ac:dyDescent="0.25">
      <c r="A18" t="s">
        <v>60</v>
      </c>
      <c r="B18" t="s">
        <v>61</v>
      </c>
      <c r="C18" t="s">
        <v>11</v>
      </c>
      <c r="D18" t="s">
        <v>31</v>
      </c>
      <c r="E18" s="4">
        <v>39969.72</v>
      </c>
      <c r="F18" s="3">
        <v>43444</v>
      </c>
      <c r="G18">
        <v>1</v>
      </c>
      <c r="H18" t="s">
        <v>53</v>
      </c>
      <c r="I18" t="s">
        <v>50</v>
      </c>
      <c r="K18" t="s">
        <v>38</v>
      </c>
      <c r="L18">
        <f>COUNTIF(Table1[Department],K18)</f>
        <v>10</v>
      </c>
    </row>
    <row r="19" spans="1:12" x14ac:dyDescent="0.25">
      <c r="A19" t="s">
        <v>62</v>
      </c>
      <c r="B19" t="s">
        <v>63</v>
      </c>
      <c r="C19" t="s">
        <v>11</v>
      </c>
      <c r="D19" t="s">
        <v>21</v>
      </c>
      <c r="E19" s="4">
        <v>69913.39</v>
      </c>
      <c r="F19" s="3">
        <v>43584</v>
      </c>
      <c r="G19">
        <v>1</v>
      </c>
      <c r="H19" t="s">
        <v>12</v>
      </c>
      <c r="I19" t="s">
        <v>13</v>
      </c>
      <c r="K19" t="s">
        <v>41</v>
      </c>
      <c r="L19">
        <f>COUNTIF(Table1[Department],K19)</f>
        <v>14</v>
      </c>
    </row>
    <row r="20" spans="1:12" x14ac:dyDescent="0.25">
      <c r="A20" t="s">
        <v>64</v>
      </c>
      <c r="B20" t="s">
        <v>65</v>
      </c>
      <c r="C20" t="s">
        <v>11</v>
      </c>
      <c r="D20" t="s">
        <v>41</v>
      </c>
      <c r="E20" s="4">
        <v>52748.63</v>
      </c>
      <c r="F20" s="3">
        <v>43857</v>
      </c>
      <c r="G20">
        <v>1</v>
      </c>
      <c r="H20" t="s">
        <v>12</v>
      </c>
      <c r="I20" t="s">
        <v>59</v>
      </c>
      <c r="K20" t="s">
        <v>68</v>
      </c>
      <c r="L20">
        <f>COUNTIF(Table1[Department],K20)</f>
        <v>12</v>
      </c>
    </row>
    <row r="21" spans="1:12" x14ac:dyDescent="0.25">
      <c r="A21" t="s">
        <v>66</v>
      </c>
      <c r="B21" t="s">
        <v>67</v>
      </c>
      <c r="C21" t="s">
        <v>11</v>
      </c>
      <c r="D21" t="s">
        <v>68</v>
      </c>
      <c r="E21" s="4">
        <v>50310.09</v>
      </c>
      <c r="F21" s="3">
        <v>44285</v>
      </c>
      <c r="G21">
        <v>0.4</v>
      </c>
      <c r="H21" t="s">
        <v>12</v>
      </c>
      <c r="I21" t="s">
        <v>28</v>
      </c>
      <c r="K21" t="s">
        <v>71</v>
      </c>
      <c r="L21">
        <f>COUNTIF(Table1[Department],K21)</f>
        <v>18</v>
      </c>
    </row>
    <row r="22" spans="1:12" x14ac:dyDescent="0.25">
      <c r="A22" t="s">
        <v>69</v>
      </c>
      <c r="B22" t="s">
        <v>70</v>
      </c>
      <c r="C22" t="s">
        <v>11</v>
      </c>
      <c r="D22" t="s">
        <v>71</v>
      </c>
      <c r="E22" s="4">
        <v>52963.65</v>
      </c>
      <c r="F22" s="3">
        <v>44288</v>
      </c>
      <c r="G22">
        <v>0.3</v>
      </c>
      <c r="H22" t="s">
        <v>12</v>
      </c>
      <c r="I22" t="s">
        <v>50</v>
      </c>
      <c r="K22" t="s">
        <v>74</v>
      </c>
      <c r="L22">
        <f>COUNTIF(Table1[Department],K22)</f>
        <v>9</v>
      </c>
    </row>
    <row r="23" spans="1:12" x14ac:dyDescent="0.25">
      <c r="A23" t="s">
        <v>72</v>
      </c>
      <c r="B23" t="s">
        <v>73</v>
      </c>
      <c r="C23" t="s">
        <v>11</v>
      </c>
      <c r="D23" t="s">
        <v>74</v>
      </c>
      <c r="E23" s="4">
        <v>62195.47</v>
      </c>
      <c r="F23" s="3">
        <v>44434</v>
      </c>
      <c r="G23">
        <v>1</v>
      </c>
      <c r="H23" t="s">
        <v>12</v>
      </c>
      <c r="I23" t="s">
        <v>13</v>
      </c>
      <c r="K23" t="s">
        <v>87</v>
      </c>
      <c r="L23">
        <f>COUNTIF(Table1[Department],K23)</f>
        <v>15</v>
      </c>
    </row>
    <row r="24" spans="1:12" x14ac:dyDescent="0.25">
      <c r="A24" t="s">
        <v>75</v>
      </c>
      <c r="B24" t="s">
        <v>76</v>
      </c>
      <c r="C24" t="s">
        <v>11</v>
      </c>
      <c r="D24" t="s">
        <v>31</v>
      </c>
      <c r="E24" s="4">
        <v>43329.22</v>
      </c>
      <c r="F24" s="3">
        <v>43809</v>
      </c>
      <c r="G24">
        <v>0.5</v>
      </c>
      <c r="H24" t="s">
        <v>25</v>
      </c>
      <c r="I24" t="s">
        <v>13</v>
      </c>
      <c r="K24" t="s">
        <v>92</v>
      </c>
      <c r="L24">
        <f>COUNTIF(Table1[Department],K24)</f>
        <v>17</v>
      </c>
    </row>
    <row r="25" spans="1:12" x14ac:dyDescent="0.25">
      <c r="A25" t="s">
        <v>77</v>
      </c>
      <c r="B25" t="s">
        <v>78</v>
      </c>
      <c r="C25" t="s">
        <v>16</v>
      </c>
      <c r="D25" t="s">
        <v>24</v>
      </c>
      <c r="E25" s="4">
        <v>71570.990000000005</v>
      </c>
      <c r="F25" s="3">
        <v>44249</v>
      </c>
      <c r="G25">
        <v>0.5</v>
      </c>
      <c r="H25" t="s">
        <v>12</v>
      </c>
      <c r="I25" t="s">
        <v>28</v>
      </c>
    </row>
    <row r="26" spans="1:12" x14ac:dyDescent="0.25">
      <c r="A26" t="s">
        <v>79</v>
      </c>
      <c r="B26" t="s">
        <v>80</v>
      </c>
      <c r="D26" t="s">
        <v>24</v>
      </c>
      <c r="E26" s="4">
        <v>78840.23</v>
      </c>
      <c r="F26" s="3">
        <v>43633</v>
      </c>
      <c r="G26">
        <v>1</v>
      </c>
      <c r="H26" t="s">
        <v>53</v>
      </c>
      <c r="I26" t="s">
        <v>13</v>
      </c>
    </row>
    <row r="27" spans="1:12" x14ac:dyDescent="0.25">
      <c r="A27" t="s">
        <v>81</v>
      </c>
      <c r="B27" t="s">
        <v>82</v>
      </c>
      <c r="C27" t="s">
        <v>16</v>
      </c>
      <c r="D27" t="s">
        <v>68</v>
      </c>
      <c r="E27" s="4">
        <v>61994.76</v>
      </c>
      <c r="F27" s="3">
        <v>43794</v>
      </c>
      <c r="G27">
        <v>0.3</v>
      </c>
      <c r="H27" t="s">
        <v>12</v>
      </c>
      <c r="I27" t="s">
        <v>28</v>
      </c>
    </row>
    <row r="28" spans="1:12" x14ac:dyDescent="0.25">
      <c r="A28" t="s">
        <v>83</v>
      </c>
      <c r="B28" t="s">
        <v>84</v>
      </c>
      <c r="C28" t="s">
        <v>16</v>
      </c>
      <c r="D28" t="s">
        <v>21</v>
      </c>
      <c r="E28" s="4">
        <v>89690.38</v>
      </c>
      <c r="F28" s="3">
        <v>43206</v>
      </c>
      <c r="G28">
        <v>1</v>
      </c>
      <c r="H28" t="s">
        <v>12</v>
      </c>
      <c r="I28" t="s">
        <v>32</v>
      </c>
    </row>
    <row r="29" spans="1:12" x14ac:dyDescent="0.25">
      <c r="A29" t="s">
        <v>85</v>
      </c>
      <c r="B29" t="s">
        <v>86</v>
      </c>
      <c r="C29" t="s">
        <v>11</v>
      </c>
      <c r="D29" t="s">
        <v>87</v>
      </c>
      <c r="E29" s="4">
        <v>104335.03999999999</v>
      </c>
      <c r="F29" s="3">
        <v>43874</v>
      </c>
      <c r="G29">
        <v>1</v>
      </c>
      <c r="H29" t="s">
        <v>12</v>
      </c>
      <c r="I29" t="s">
        <v>50</v>
      </c>
    </row>
    <row r="30" spans="1:12" x14ac:dyDescent="0.25">
      <c r="A30" t="s">
        <v>88</v>
      </c>
      <c r="B30" t="s">
        <v>89</v>
      </c>
      <c r="C30" t="s">
        <v>11</v>
      </c>
      <c r="D30" t="s">
        <v>71</v>
      </c>
      <c r="E30" s="4">
        <v>52246.29</v>
      </c>
      <c r="F30" s="3">
        <v>43573</v>
      </c>
      <c r="G30">
        <v>1</v>
      </c>
      <c r="H30" t="s">
        <v>53</v>
      </c>
      <c r="I30" t="s">
        <v>32</v>
      </c>
    </row>
    <row r="31" spans="1:12" x14ac:dyDescent="0.25">
      <c r="A31" t="s">
        <v>90</v>
      </c>
      <c r="B31" t="s">
        <v>91</v>
      </c>
      <c r="C31" t="s">
        <v>11</v>
      </c>
      <c r="D31" t="s">
        <v>92</v>
      </c>
      <c r="E31" s="4">
        <v>90697.67</v>
      </c>
      <c r="F31" s="3">
        <v>44221</v>
      </c>
      <c r="G31">
        <v>0.8</v>
      </c>
      <c r="H31" t="s">
        <v>12</v>
      </c>
      <c r="I31" t="s">
        <v>18</v>
      </c>
    </row>
    <row r="32" spans="1:12" x14ac:dyDescent="0.25">
      <c r="A32" t="s">
        <v>93</v>
      </c>
      <c r="B32" t="s">
        <v>94</v>
      </c>
      <c r="C32" t="s">
        <v>11</v>
      </c>
      <c r="D32" t="s">
        <v>17</v>
      </c>
      <c r="E32" s="4">
        <v>90884.32</v>
      </c>
      <c r="F32" s="3">
        <v>43826</v>
      </c>
      <c r="G32">
        <v>1</v>
      </c>
      <c r="H32" t="s">
        <v>12</v>
      </c>
      <c r="I32" t="s">
        <v>50</v>
      </c>
    </row>
    <row r="33" spans="1:9" x14ac:dyDescent="0.25">
      <c r="A33" t="s">
        <v>95</v>
      </c>
      <c r="B33" t="s">
        <v>96</v>
      </c>
      <c r="C33" t="s">
        <v>11</v>
      </c>
      <c r="D33" t="s">
        <v>68</v>
      </c>
      <c r="E33" s="4">
        <v>76320.44</v>
      </c>
      <c r="F33" s="3">
        <v>44383</v>
      </c>
      <c r="G33">
        <v>0.8</v>
      </c>
      <c r="H33" t="s">
        <v>53</v>
      </c>
      <c r="I33" t="s">
        <v>13</v>
      </c>
    </row>
    <row r="34" spans="1:9" x14ac:dyDescent="0.25">
      <c r="A34" t="s">
        <v>97</v>
      </c>
      <c r="B34" t="s">
        <v>98</v>
      </c>
      <c r="C34" t="s">
        <v>11</v>
      </c>
      <c r="D34" t="s">
        <v>17</v>
      </c>
      <c r="E34" s="4">
        <v>73360.38</v>
      </c>
      <c r="F34" s="3">
        <v>43972</v>
      </c>
      <c r="G34">
        <v>1</v>
      </c>
      <c r="H34" t="s">
        <v>53</v>
      </c>
      <c r="I34" t="s">
        <v>13</v>
      </c>
    </row>
    <row r="35" spans="1:9" x14ac:dyDescent="0.25">
      <c r="A35" t="s">
        <v>99</v>
      </c>
      <c r="B35" t="s">
        <v>100</v>
      </c>
      <c r="C35" t="s">
        <v>11</v>
      </c>
      <c r="D35" t="s">
        <v>21</v>
      </c>
      <c r="F35" s="3">
        <v>44055</v>
      </c>
      <c r="G35">
        <v>0.7</v>
      </c>
      <c r="H35" t="s">
        <v>12</v>
      </c>
      <c r="I35" t="s">
        <v>54</v>
      </c>
    </row>
    <row r="36" spans="1:9" x14ac:dyDescent="0.25">
      <c r="A36" t="s">
        <v>101</v>
      </c>
      <c r="B36" t="s">
        <v>102</v>
      </c>
      <c r="C36" t="s">
        <v>16</v>
      </c>
      <c r="D36" t="s">
        <v>41</v>
      </c>
      <c r="E36" s="4">
        <v>50449.46</v>
      </c>
      <c r="F36" s="3">
        <v>43418</v>
      </c>
      <c r="G36">
        <v>0.8</v>
      </c>
      <c r="H36" t="s">
        <v>12</v>
      </c>
      <c r="I36" t="s">
        <v>54</v>
      </c>
    </row>
    <row r="37" spans="1:9" x14ac:dyDescent="0.25">
      <c r="A37" t="s">
        <v>103</v>
      </c>
      <c r="B37" t="s">
        <v>104</v>
      </c>
      <c r="C37" t="s">
        <v>11</v>
      </c>
      <c r="D37" t="s">
        <v>24</v>
      </c>
      <c r="E37" s="4">
        <v>53949.26</v>
      </c>
      <c r="F37" s="3">
        <v>43808</v>
      </c>
      <c r="G37">
        <v>1</v>
      </c>
      <c r="H37" t="s">
        <v>53</v>
      </c>
      <c r="I37" t="s">
        <v>50</v>
      </c>
    </row>
    <row r="38" spans="1:9" x14ac:dyDescent="0.25">
      <c r="A38" t="s">
        <v>105</v>
      </c>
      <c r="B38" t="s">
        <v>106</v>
      </c>
      <c r="C38" t="s">
        <v>11</v>
      </c>
      <c r="D38" t="s">
        <v>92</v>
      </c>
      <c r="E38" s="4">
        <v>113616.23</v>
      </c>
      <c r="F38" s="3">
        <v>43255</v>
      </c>
      <c r="G38">
        <v>1</v>
      </c>
      <c r="H38" t="s">
        <v>12</v>
      </c>
      <c r="I38" t="s">
        <v>13</v>
      </c>
    </row>
    <row r="39" spans="1:9" x14ac:dyDescent="0.25">
      <c r="A39" t="s">
        <v>107</v>
      </c>
      <c r="B39" t="s">
        <v>108</v>
      </c>
      <c r="C39" t="s">
        <v>16</v>
      </c>
      <c r="D39" t="s">
        <v>87</v>
      </c>
      <c r="E39" s="4">
        <v>110906.35</v>
      </c>
      <c r="F39" s="3">
        <v>43434</v>
      </c>
      <c r="G39">
        <v>1</v>
      </c>
      <c r="H39" t="s">
        <v>53</v>
      </c>
      <c r="I39" t="s">
        <v>32</v>
      </c>
    </row>
    <row r="40" spans="1:9" x14ac:dyDescent="0.25">
      <c r="A40" t="s">
        <v>109</v>
      </c>
      <c r="B40" t="s">
        <v>110</v>
      </c>
      <c r="C40" t="s">
        <v>16</v>
      </c>
      <c r="D40" t="s">
        <v>35</v>
      </c>
      <c r="E40" s="4">
        <v>100371.31</v>
      </c>
      <c r="F40" s="3">
        <v>44067</v>
      </c>
      <c r="G40">
        <v>0.8</v>
      </c>
      <c r="H40" t="s">
        <v>25</v>
      </c>
      <c r="I40" t="s">
        <v>54</v>
      </c>
    </row>
    <row r="41" spans="1:9" x14ac:dyDescent="0.25">
      <c r="A41" t="s">
        <v>111</v>
      </c>
      <c r="B41" t="s">
        <v>112</v>
      </c>
      <c r="C41" t="s">
        <v>16</v>
      </c>
      <c r="D41" t="s">
        <v>71</v>
      </c>
      <c r="E41" s="4">
        <v>69163.39</v>
      </c>
      <c r="F41" s="3">
        <v>43397</v>
      </c>
      <c r="G41">
        <v>1</v>
      </c>
      <c r="H41" t="s">
        <v>12</v>
      </c>
      <c r="I41" t="s">
        <v>13</v>
      </c>
    </row>
    <row r="42" spans="1:9" x14ac:dyDescent="0.25">
      <c r="A42" t="s">
        <v>113</v>
      </c>
      <c r="B42" t="s">
        <v>114</v>
      </c>
      <c r="C42" t="s">
        <v>11</v>
      </c>
      <c r="D42" t="s">
        <v>24</v>
      </c>
      <c r="E42" s="4">
        <v>114691.03</v>
      </c>
      <c r="F42" s="3">
        <v>44039</v>
      </c>
      <c r="G42">
        <v>1</v>
      </c>
      <c r="H42" t="s">
        <v>53</v>
      </c>
      <c r="I42" t="s">
        <v>32</v>
      </c>
    </row>
    <row r="43" spans="1:9" x14ac:dyDescent="0.25">
      <c r="A43" t="s">
        <v>115</v>
      </c>
      <c r="B43" t="s">
        <v>116</v>
      </c>
      <c r="C43" t="s">
        <v>11</v>
      </c>
      <c r="D43" t="s">
        <v>68</v>
      </c>
      <c r="E43" s="4">
        <v>86556.96</v>
      </c>
      <c r="F43" s="3">
        <v>44104</v>
      </c>
      <c r="G43">
        <v>1</v>
      </c>
      <c r="H43" t="s">
        <v>12</v>
      </c>
      <c r="I43" t="s">
        <v>28</v>
      </c>
    </row>
    <row r="44" spans="1:9" x14ac:dyDescent="0.25">
      <c r="A44" t="s">
        <v>117</v>
      </c>
      <c r="B44" t="s">
        <v>118</v>
      </c>
      <c r="C44" t="s">
        <v>16</v>
      </c>
      <c r="D44" t="s">
        <v>21</v>
      </c>
      <c r="E44" s="4">
        <v>31172.77</v>
      </c>
      <c r="F44" s="3">
        <v>43665</v>
      </c>
      <c r="G44">
        <v>1</v>
      </c>
      <c r="H44" t="s">
        <v>25</v>
      </c>
      <c r="I44" t="s">
        <v>13</v>
      </c>
    </row>
    <row r="45" spans="1:9" x14ac:dyDescent="0.25">
      <c r="A45" t="s">
        <v>119</v>
      </c>
      <c r="B45" t="s">
        <v>120</v>
      </c>
      <c r="C45" t="s">
        <v>11</v>
      </c>
      <c r="D45" t="s">
        <v>17</v>
      </c>
      <c r="E45" s="4">
        <v>80169.42</v>
      </c>
      <c r="F45" s="3">
        <v>44053</v>
      </c>
      <c r="G45">
        <v>1</v>
      </c>
      <c r="H45" t="s">
        <v>12</v>
      </c>
      <c r="I45" t="s">
        <v>54</v>
      </c>
    </row>
    <row r="46" spans="1:9" x14ac:dyDescent="0.25">
      <c r="A46" t="s">
        <v>121</v>
      </c>
      <c r="B46" t="s">
        <v>122</v>
      </c>
      <c r="C46" t="s">
        <v>16</v>
      </c>
      <c r="D46" t="s">
        <v>35</v>
      </c>
      <c r="E46" s="4">
        <v>58935.92</v>
      </c>
      <c r="F46" s="3">
        <v>43717</v>
      </c>
      <c r="G46">
        <v>1</v>
      </c>
      <c r="H46" t="s">
        <v>53</v>
      </c>
      <c r="I46" t="s">
        <v>28</v>
      </c>
    </row>
    <row r="47" spans="1:9" x14ac:dyDescent="0.25">
      <c r="A47" t="s">
        <v>123</v>
      </c>
      <c r="B47" t="s">
        <v>124</v>
      </c>
      <c r="C47" t="s">
        <v>16</v>
      </c>
      <c r="D47" t="s">
        <v>35</v>
      </c>
      <c r="E47" s="4">
        <v>63555.73</v>
      </c>
      <c r="F47" s="3">
        <v>44159</v>
      </c>
      <c r="G47">
        <v>1</v>
      </c>
      <c r="H47" t="s">
        <v>12</v>
      </c>
      <c r="I47" t="s">
        <v>59</v>
      </c>
    </row>
    <row r="48" spans="1:9" x14ac:dyDescent="0.25">
      <c r="A48" t="s">
        <v>125</v>
      </c>
      <c r="B48" t="s">
        <v>126</v>
      </c>
      <c r="C48" t="s">
        <v>11</v>
      </c>
      <c r="D48" t="s">
        <v>71</v>
      </c>
      <c r="E48" s="4">
        <v>57419.35</v>
      </c>
      <c r="F48" s="3">
        <v>43305</v>
      </c>
      <c r="G48">
        <v>1</v>
      </c>
      <c r="H48" t="s">
        <v>25</v>
      </c>
      <c r="I48" t="s">
        <v>54</v>
      </c>
    </row>
    <row r="49" spans="1:9" x14ac:dyDescent="0.25">
      <c r="A49" t="s">
        <v>127</v>
      </c>
      <c r="B49" t="s">
        <v>128</v>
      </c>
      <c r="C49" t="s">
        <v>16</v>
      </c>
      <c r="D49" t="s">
        <v>87</v>
      </c>
      <c r="E49" s="4">
        <v>67818.14</v>
      </c>
      <c r="F49" s="3">
        <v>43406</v>
      </c>
      <c r="G49">
        <v>0.6</v>
      </c>
      <c r="H49" t="s">
        <v>25</v>
      </c>
      <c r="I49" t="s">
        <v>13</v>
      </c>
    </row>
    <row r="50" spans="1:9" x14ac:dyDescent="0.25">
      <c r="A50" t="s">
        <v>129</v>
      </c>
      <c r="B50" t="s">
        <v>130</v>
      </c>
      <c r="C50" t="s">
        <v>16</v>
      </c>
      <c r="D50" t="s">
        <v>21</v>
      </c>
      <c r="E50" s="4">
        <v>44403.77</v>
      </c>
      <c r="F50" s="3">
        <v>43416</v>
      </c>
      <c r="G50">
        <v>1</v>
      </c>
      <c r="H50" t="s">
        <v>12</v>
      </c>
      <c r="I50" t="s">
        <v>28</v>
      </c>
    </row>
    <row r="51" spans="1:9" x14ac:dyDescent="0.25">
      <c r="A51" t="s">
        <v>131</v>
      </c>
      <c r="B51" t="s">
        <v>132</v>
      </c>
      <c r="C51" t="s">
        <v>11</v>
      </c>
      <c r="D51" t="s">
        <v>38</v>
      </c>
      <c r="E51" s="4">
        <v>40753.54</v>
      </c>
      <c r="F51" s="3">
        <v>43152</v>
      </c>
      <c r="G51">
        <v>0.6</v>
      </c>
      <c r="H51" t="s">
        <v>12</v>
      </c>
      <c r="I51" t="s">
        <v>32</v>
      </c>
    </row>
    <row r="52" spans="1:9" x14ac:dyDescent="0.25">
      <c r="A52" t="s">
        <v>133</v>
      </c>
      <c r="B52" t="s">
        <v>134</v>
      </c>
      <c r="C52" t="s">
        <v>16</v>
      </c>
      <c r="D52" t="s">
        <v>24</v>
      </c>
      <c r="E52" s="4">
        <v>102934.09</v>
      </c>
      <c r="F52" s="3">
        <v>44315</v>
      </c>
      <c r="G52">
        <v>1</v>
      </c>
      <c r="H52" t="s">
        <v>12</v>
      </c>
      <c r="I52" t="s">
        <v>28</v>
      </c>
    </row>
    <row r="53" spans="1:9" x14ac:dyDescent="0.25">
      <c r="A53" t="s">
        <v>135</v>
      </c>
      <c r="B53" t="s">
        <v>136</v>
      </c>
      <c r="C53" t="s">
        <v>11</v>
      </c>
      <c r="D53" t="s">
        <v>74</v>
      </c>
      <c r="E53" s="4">
        <v>68860.399999999994</v>
      </c>
      <c r="F53" s="3">
        <v>43508</v>
      </c>
      <c r="G53">
        <v>0.4</v>
      </c>
      <c r="H53" t="s">
        <v>12</v>
      </c>
      <c r="I53" t="s">
        <v>50</v>
      </c>
    </row>
    <row r="54" spans="1:9" x14ac:dyDescent="0.25">
      <c r="A54" t="s">
        <v>137</v>
      </c>
      <c r="B54" t="s">
        <v>138</v>
      </c>
      <c r="C54" t="s">
        <v>11</v>
      </c>
      <c r="D54" t="s">
        <v>24</v>
      </c>
      <c r="E54" s="4">
        <v>79567.69</v>
      </c>
      <c r="F54" s="3">
        <v>43272</v>
      </c>
      <c r="G54">
        <v>1</v>
      </c>
      <c r="H54" t="s">
        <v>25</v>
      </c>
      <c r="I54" t="s">
        <v>59</v>
      </c>
    </row>
    <row r="55" spans="1:9" x14ac:dyDescent="0.25">
      <c r="A55" t="s">
        <v>139</v>
      </c>
      <c r="B55" t="s">
        <v>140</v>
      </c>
      <c r="C55" t="s">
        <v>16</v>
      </c>
      <c r="D55" t="s">
        <v>68</v>
      </c>
      <c r="E55" s="4">
        <v>35943.620000000003</v>
      </c>
      <c r="F55" s="3">
        <v>44078</v>
      </c>
      <c r="G55">
        <v>1</v>
      </c>
      <c r="H55" t="s">
        <v>12</v>
      </c>
      <c r="I55" t="s">
        <v>50</v>
      </c>
    </row>
    <row r="56" spans="1:9" x14ac:dyDescent="0.25">
      <c r="A56" t="s">
        <v>141</v>
      </c>
      <c r="B56" t="s">
        <v>142</v>
      </c>
      <c r="C56" t="s">
        <v>16</v>
      </c>
      <c r="D56" t="s">
        <v>24</v>
      </c>
      <c r="E56" s="4">
        <v>116767.63</v>
      </c>
      <c r="F56" s="3">
        <v>43949</v>
      </c>
      <c r="G56">
        <v>0.4</v>
      </c>
      <c r="H56" t="s">
        <v>53</v>
      </c>
      <c r="I56" t="s">
        <v>59</v>
      </c>
    </row>
    <row r="57" spans="1:9" x14ac:dyDescent="0.25">
      <c r="A57" t="s">
        <v>143</v>
      </c>
      <c r="B57" t="s">
        <v>144</v>
      </c>
      <c r="C57" t="s">
        <v>11</v>
      </c>
      <c r="D57" t="s">
        <v>41</v>
      </c>
      <c r="E57" s="4">
        <v>85455.53</v>
      </c>
      <c r="F57" s="3">
        <v>43839</v>
      </c>
      <c r="G57">
        <v>1</v>
      </c>
      <c r="H57" t="s">
        <v>12</v>
      </c>
      <c r="I57" t="s">
        <v>32</v>
      </c>
    </row>
    <row r="58" spans="1:9" x14ac:dyDescent="0.25">
      <c r="A58" t="s">
        <v>145</v>
      </c>
      <c r="B58" t="s">
        <v>146</v>
      </c>
      <c r="C58" t="s">
        <v>16</v>
      </c>
      <c r="D58" t="s">
        <v>41</v>
      </c>
      <c r="E58" s="4">
        <v>39700.82</v>
      </c>
      <c r="F58" s="3">
        <v>44203</v>
      </c>
      <c r="G58">
        <v>0.8</v>
      </c>
      <c r="H58" t="s">
        <v>12</v>
      </c>
      <c r="I58" t="s">
        <v>59</v>
      </c>
    </row>
    <row r="59" spans="1:9" x14ac:dyDescent="0.25">
      <c r="A59" t="s">
        <v>147</v>
      </c>
      <c r="B59" t="s">
        <v>148</v>
      </c>
      <c r="C59" t="s">
        <v>16</v>
      </c>
      <c r="D59" t="s">
        <v>87</v>
      </c>
      <c r="E59" s="4">
        <v>38438.239999999998</v>
      </c>
      <c r="F59" s="3">
        <v>43962</v>
      </c>
      <c r="G59">
        <v>1</v>
      </c>
      <c r="H59" t="s">
        <v>12</v>
      </c>
      <c r="I59" t="s">
        <v>59</v>
      </c>
    </row>
    <row r="60" spans="1:9" x14ac:dyDescent="0.25">
      <c r="A60" t="s">
        <v>149</v>
      </c>
      <c r="B60" t="s">
        <v>150</v>
      </c>
      <c r="C60" t="s">
        <v>11</v>
      </c>
      <c r="D60" t="s">
        <v>31</v>
      </c>
      <c r="E60" s="4">
        <v>50855.53</v>
      </c>
      <c r="F60" s="3">
        <v>44221</v>
      </c>
      <c r="G60">
        <v>1</v>
      </c>
      <c r="H60" t="s">
        <v>12</v>
      </c>
      <c r="I60" t="s">
        <v>32</v>
      </c>
    </row>
    <row r="61" spans="1:9" x14ac:dyDescent="0.25">
      <c r="A61" t="s">
        <v>151</v>
      </c>
      <c r="B61" t="s">
        <v>152</v>
      </c>
      <c r="C61" t="s">
        <v>11</v>
      </c>
      <c r="D61" t="s">
        <v>35</v>
      </c>
      <c r="E61" s="4">
        <v>0</v>
      </c>
      <c r="F61" s="3">
        <v>43724</v>
      </c>
      <c r="G61">
        <v>0.2</v>
      </c>
      <c r="H61" t="s">
        <v>12</v>
      </c>
      <c r="I61" t="s">
        <v>54</v>
      </c>
    </row>
    <row r="62" spans="1:9" x14ac:dyDescent="0.25">
      <c r="A62" t="s">
        <v>153</v>
      </c>
      <c r="B62" t="s">
        <v>154</v>
      </c>
      <c r="C62" t="s">
        <v>11</v>
      </c>
      <c r="D62" t="s">
        <v>38</v>
      </c>
      <c r="E62" s="4">
        <v>37362.300000000003</v>
      </c>
      <c r="F62" s="3">
        <v>43642</v>
      </c>
      <c r="G62">
        <v>1</v>
      </c>
      <c r="H62" t="s">
        <v>12</v>
      </c>
      <c r="I62" t="s">
        <v>54</v>
      </c>
    </row>
    <row r="63" spans="1:9" x14ac:dyDescent="0.25">
      <c r="A63" t="s">
        <v>155</v>
      </c>
      <c r="B63" t="s">
        <v>156</v>
      </c>
      <c r="C63" t="s">
        <v>11</v>
      </c>
      <c r="D63" t="s">
        <v>68</v>
      </c>
      <c r="E63" s="4">
        <v>72876.91</v>
      </c>
      <c r="F63" s="3">
        <v>43612</v>
      </c>
      <c r="G63">
        <v>0.4</v>
      </c>
      <c r="H63" t="s">
        <v>25</v>
      </c>
      <c r="I63" t="s">
        <v>54</v>
      </c>
    </row>
    <row r="64" spans="1:9" x14ac:dyDescent="0.25">
      <c r="A64" t="s">
        <v>157</v>
      </c>
      <c r="B64" t="s">
        <v>158</v>
      </c>
      <c r="C64" t="s">
        <v>16</v>
      </c>
      <c r="D64" t="s">
        <v>92</v>
      </c>
      <c r="E64" s="4">
        <v>31042.51</v>
      </c>
      <c r="F64" s="3">
        <v>44473</v>
      </c>
      <c r="G64">
        <v>0.3</v>
      </c>
      <c r="H64" t="s">
        <v>25</v>
      </c>
      <c r="I64" t="s">
        <v>13</v>
      </c>
    </row>
    <row r="65" spans="1:9" x14ac:dyDescent="0.25">
      <c r="A65" t="s">
        <v>159</v>
      </c>
      <c r="B65" t="s">
        <v>160</v>
      </c>
      <c r="C65" t="s">
        <v>16</v>
      </c>
      <c r="D65" t="s">
        <v>92</v>
      </c>
      <c r="E65" s="4">
        <v>63705.4</v>
      </c>
      <c r="F65" s="3">
        <v>43682</v>
      </c>
      <c r="G65">
        <v>1</v>
      </c>
      <c r="H65" t="s">
        <v>12</v>
      </c>
      <c r="I65" t="s">
        <v>28</v>
      </c>
    </row>
    <row r="66" spans="1:9" x14ac:dyDescent="0.25">
      <c r="A66" t="s">
        <v>161</v>
      </c>
      <c r="B66" t="s">
        <v>162</v>
      </c>
      <c r="C66" t="s">
        <v>16</v>
      </c>
      <c r="D66" t="s">
        <v>41</v>
      </c>
      <c r="E66" s="4">
        <v>59434.18</v>
      </c>
      <c r="F66" s="3">
        <v>43931</v>
      </c>
      <c r="G66">
        <v>1</v>
      </c>
      <c r="H66" t="s">
        <v>53</v>
      </c>
      <c r="I66" t="s">
        <v>18</v>
      </c>
    </row>
    <row r="67" spans="1:9" x14ac:dyDescent="0.25">
      <c r="A67" t="s">
        <v>163</v>
      </c>
      <c r="B67" t="s">
        <v>164</v>
      </c>
      <c r="C67" t="s">
        <v>16</v>
      </c>
      <c r="D67" t="s">
        <v>74</v>
      </c>
      <c r="E67" s="4">
        <v>84762.76</v>
      </c>
      <c r="F67" s="3">
        <v>43332</v>
      </c>
      <c r="G67">
        <v>1</v>
      </c>
      <c r="H67" t="s">
        <v>12</v>
      </c>
      <c r="I67" t="s">
        <v>28</v>
      </c>
    </row>
    <row r="68" spans="1:9" x14ac:dyDescent="0.25">
      <c r="A68" t="s">
        <v>165</v>
      </c>
      <c r="B68" t="s">
        <v>166</v>
      </c>
      <c r="C68" t="s">
        <v>16</v>
      </c>
      <c r="D68" t="s">
        <v>21</v>
      </c>
      <c r="E68" s="4">
        <v>69057.320000000007</v>
      </c>
      <c r="F68" s="3">
        <v>43390</v>
      </c>
      <c r="G68">
        <v>1</v>
      </c>
      <c r="H68" t="s">
        <v>12</v>
      </c>
      <c r="I68" t="s">
        <v>32</v>
      </c>
    </row>
    <row r="69" spans="1:9" x14ac:dyDescent="0.25">
      <c r="A69" t="s">
        <v>167</v>
      </c>
      <c r="B69" t="s">
        <v>168</v>
      </c>
      <c r="D69" t="s">
        <v>68</v>
      </c>
      <c r="E69" s="4">
        <v>99448.78</v>
      </c>
      <c r="F69" s="3">
        <v>43473</v>
      </c>
      <c r="G69">
        <v>1</v>
      </c>
      <c r="H69" t="s">
        <v>25</v>
      </c>
      <c r="I69" t="s">
        <v>32</v>
      </c>
    </row>
    <row r="70" spans="1:9" x14ac:dyDescent="0.25">
      <c r="A70" t="s">
        <v>169</v>
      </c>
      <c r="B70" t="s">
        <v>170</v>
      </c>
      <c r="C70" t="s">
        <v>16</v>
      </c>
      <c r="D70" t="s">
        <v>87</v>
      </c>
      <c r="E70" s="4">
        <v>66865.490000000005</v>
      </c>
      <c r="F70" s="3">
        <v>43514</v>
      </c>
      <c r="G70">
        <v>1</v>
      </c>
      <c r="H70" t="s">
        <v>12</v>
      </c>
      <c r="I70" t="s">
        <v>18</v>
      </c>
    </row>
    <row r="71" spans="1:9" x14ac:dyDescent="0.25">
      <c r="A71" t="s">
        <v>171</v>
      </c>
      <c r="B71" t="s">
        <v>172</v>
      </c>
      <c r="C71" t="s">
        <v>11</v>
      </c>
      <c r="D71" t="s">
        <v>92</v>
      </c>
      <c r="E71" s="4">
        <v>113747.56</v>
      </c>
      <c r="F71" s="3">
        <v>44270</v>
      </c>
      <c r="G71">
        <v>0.7</v>
      </c>
      <c r="H71" t="s">
        <v>53</v>
      </c>
      <c r="I71" t="s">
        <v>50</v>
      </c>
    </row>
    <row r="72" spans="1:9" x14ac:dyDescent="0.25">
      <c r="A72" t="s">
        <v>173</v>
      </c>
      <c r="B72" t="s">
        <v>174</v>
      </c>
      <c r="C72" t="s">
        <v>11</v>
      </c>
      <c r="D72" t="s">
        <v>17</v>
      </c>
      <c r="E72" s="4">
        <v>85918.61</v>
      </c>
      <c r="F72" s="3">
        <v>43136</v>
      </c>
      <c r="G72">
        <v>1</v>
      </c>
      <c r="H72" t="s">
        <v>12</v>
      </c>
      <c r="I72" t="s">
        <v>50</v>
      </c>
    </row>
    <row r="73" spans="1:9" x14ac:dyDescent="0.25">
      <c r="A73" t="s">
        <v>175</v>
      </c>
      <c r="B73" t="s">
        <v>176</v>
      </c>
      <c r="C73" t="s">
        <v>16</v>
      </c>
      <c r="D73" t="s">
        <v>21</v>
      </c>
      <c r="E73" s="4">
        <v>51165.37</v>
      </c>
      <c r="F73" s="3">
        <v>44237</v>
      </c>
      <c r="G73">
        <v>1</v>
      </c>
      <c r="H73" t="s">
        <v>25</v>
      </c>
      <c r="I73" t="s">
        <v>28</v>
      </c>
    </row>
    <row r="74" spans="1:9" x14ac:dyDescent="0.25">
      <c r="A74" t="s">
        <v>177</v>
      </c>
      <c r="B74" t="s">
        <v>178</v>
      </c>
      <c r="C74" t="s">
        <v>16</v>
      </c>
      <c r="D74" t="s">
        <v>92</v>
      </c>
      <c r="F74" s="3">
        <v>44011</v>
      </c>
      <c r="G74">
        <v>1</v>
      </c>
      <c r="H74" t="s">
        <v>12</v>
      </c>
      <c r="I74" t="s">
        <v>32</v>
      </c>
    </row>
    <row r="75" spans="1:9" x14ac:dyDescent="0.25">
      <c r="A75" t="s">
        <v>179</v>
      </c>
      <c r="B75" t="s">
        <v>180</v>
      </c>
      <c r="D75" t="s">
        <v>68</v>
      </c>
      <c r="E75" s="4">
        <v>67957.899999999994</v>
      </c>
      <c r="F75" s="3">
        <v>43430</v>
      </c>
      <c r="G75">
        <v>1</v>
      </c>
      <c r="H75" t="s">
        <v>12</v>
      </c>
      <c r="I75" t="s">
        <v>59</v>
      </c>
    </row>
    <row r="76" spans="1:9" x14ac:dyDescent="0.25">
      <c r="A76" t="s">
        <v>181</v>
      </c>
      <c r="B76" t="s">
        <v>182</v>
      </c>
      <c r="C76" t="s">
        <v>11</v>
      </c>
      <c r="D76" t="s">
        <v>31</v>
      </c>
      <c r="E76" s="4">
        <v>114465.93</v>
      </c>
      <c r="F76" s="3">
        <v>43291</v>
      </c>
      <c r="G76">
        <v>1</v>
      </c>
      <c r="H76" t="s">
        <v>53</v>
      </c>
      <c r="I76" t="s">
        <v>32</v>
      </c>
    </row>
    <row r="77" spans="1:9" x14ac:dyDescent="0.25">
      <c r="A77" t="s">
        <v>183</v>
      </c>
      <c r="B77" t="s">
        <v>184</v>
      </c>
      <c r="C77" t="s">
        <v>11</v>
      </c>
      <c r="D77" t="s">
        <v>38</v>
      </c>
      <c r="E77" s="4">
        <v>65699.02</v>
      </c>
      <c r="F77" s="3">
        <v>43951</v>
      </c>
      <c r="G77">
        <v>1</v>
      </c>
      <c r="H77" t="s">
        <v>12</v>
      </c>
      <c r="I77" t="s">
        <v>50</v>
      </c>
    </row>
    <row r="78" spans="1:9" x14ac:dyDescent="0.25">
      <c r="A78" t="s">
        <v>185</v>
      </c>
      <c r="B78" t="s">
        <v>186</v>
      </c>
      <c r="C78" t="s">
        <v>11</v>
      </c>
      <c r="D78" t="s">
        <v>74</v>
      </c>
      <c r="E78" s="4">
        <v>83191.95</v>
      </c>
      <c r="F78" s="3">
        <v>43700</v>
      </c>
      <c r="G78">
        <v>0.6</v>
      </c>
      <c r="H78" t="s">
        <v>53</v>
      </c>
      <c r="I78" t="s">
        <v>13</v>
      </c>
    </row>
    <row r="79" spans="1:9" x14ac:dyDescent="0.25">
      <c r="A79" t="s">
        <v>187</v>
      </c>
      <c r="B79" t="s">
        <v>188</v>
      </c>
      <c r="C79" t="s">
        <v>11</v>
      </c>
      <c r="D79" t="s">
        <v>87</v>
      </c>
      <c r="E79" s="4">
        <v>106775.14</v>
      </c>
      <c r="F79" s="3">
        <v>43563</v>
      </c>
      <c r="G79">
        <v>1</v>
      </c>
      <c r="H79" t="s">
        <v>25</v>
      </c>
      <c r="I79" t="s">
        <v>28</v>
      </c>
    </row>
    <row r="80" spans="1:9" x14ac:dyDescent="0.25">
      <c r="A80" t="s">
        <v>189</v>
      </c>
      <c r="B80" t="s">
        <v>190</v>
      </c>
      <c r="C80" t="s">
        <v>11</v>
      </c>
      <c r="D80" t="s">
        <v>68</v>
      </c>
      <c r="E80" s="4">
        <v>83396.5</v>
      </c>
      <c r="F80" s="3">
        <v>44285</v>
      </c>
      <c r="G80">
        <v>1</v>
      </c>
      <c r="H80" t="s">
        <v>53</v>
      </c>
      <c r="I80" t="s">
        <v>54</v>
      </c>
    </row>
    <row r="81" spans="1:9" x14ac:dyDescent="0.25">
      <c r="A81" t="s">
        <v>191</v>
      </c>
      <c r="B81" t="s">
        <v>192</v>
      </c>
      <c r="C81" t="s">
        <v>11</v>
      </c>
      <c r="D81" t="s">
        <v>92</v>
      </c>
      <c r="E81" s="4">
        <v>28481.16</v>
      </c>
      <c r="F81" s="3">
        <v>44228</v>
      </c>
      <c r="G81">
        <v>1</v>
      </c>
      <c r="H81" t="s">
        <v>53</v>
      </c>
      <c r="I81" t="s">
        <v>59</v>
      </c>
    </row>
    <row r="82" spans="1:9" x14ac:dyDescent="0.25">
      <c r="A82" t="s">
        <v>193</v>
      </c>
      <c r="B82" t="s">
        <v>194</v>
      </c>
      <c r="C82" t="s">
        <v>11</v>
      </c>
      <c r="D82" t="s">
        <v>74</v>
      </c>
      <c r="E82" s="4">
        <v>32192.15</v>
      </c>
      <c r="F82" s="3">
        <v>44473</v>
      </c>
      <c r="G82">
        <v>1</v>
      </c>
      <c r="H82" t="s">
        <v>12</v>
      </c>
      <c r="I82" t="s">
        <v>28</v>
      </c>
    </row>
    <row r="83" spans="1:9" x14ac:dyDescent="0.25">
      <c r="A83" t="s">
        <v>195</v>
      </c>
      <c r="B83" t="s">
        <v>196</v>
      </c>
      <c r="C83" t="s">
        <v>11</v>
      </c>
      <c r="D83" t="s">
        <v>21</v>
      </c>
      <c r="E83" s="4">
        <v>112645.99</v>
      </c>
      <c r="F83" s="3">
        <v>43759</v>
      </c>
      <c r="G83">
        <v>0.6</v>
      </c>
      <c r="H83" t="s">
        <v>12</v>
      </c>
      <c r="I83" t="s">
        <v>18</v>
      </c>
    </row>
    <row r="84" spans="1:9" x14ac:dyDescent="0.25">
      <c r="A84" t="s">
        <v>197</v>
      </c>
      <c r="B84" t="s">
        <v>198</v>
      </c>
      <c r="D84" t="s">
        <v>71</v>
      </c>
      <c r="E84" s="4">
        <v>107107.6</v>
      </c>
      <c r="F84" s="3">
        <v>43325</v>
      </c>
      <c r="G84">
        <v>0.9</v>
      </c>
      <c r="H84" t="s">
        <v>12</v>
      </c>
      <c r="I84" t="s">
        <v>59</v>
      </c>
    </row>
    <row r="85" spans="1:9" x14ac:dyDescent="0.25">
      <c r="A85" t="s">
        <v>199</v>
      </c>
      <c r="B85" t="s">
        <v>200</v>
      </c>
      <c r="C85" t="s">
        <v>16</v>
      </c>
      <c r="D85" t="s">
        <v>17</v>
      </c>
      <c r="E85" s="4">
        <v>80695.740000000005</v>
      </c>
      <c r="F85" s="3">
        <v>43787</v>
      </c>
      <c r="G85">
        <v>0.8</v>
      </c>
      <c r="H85" t="s">
        <v>12</v>
      </c>
      <c r="I85" t="s">
        <v>50</v>
      </c>
    </row>
    <row r="86" spans="1:9" x14ac:dyDescent="0.25">
      <c r="A86" t="s">
        <v>201</v>
      </c>
      <c r="B86" t="s">
        <v>202</v>
      </c>
      <c r="C86" t="s">
        <v>16</v>
      </c>
      <c r="D86" t="s">
        <v>87</v>
      </c>
      <c r="E86" s="4">
        <v>75475.929999999993</v>
      </c>
      <c r="F86" s="3">
        <v>43794</v>
      </c>
      <c r="G86">
        <v>1</v>
      </c>
      <c r="H86" t="s">
        <v>12</v>
      </c>
      <c r="I86" t="s">
        <v>13</v>
      </c>
    </row>
    <row r="87" spans="1:9" x14ac:dyDescent="0.25">
      <c r="A87" t="s">
        <v>203</v>
      </c>
      <c r="B87" t="s">
        <v>204</v>
      </c>
      <c r="C87" t="s">
        <v>16</v>
      </c>
      <c r="D87" t="s">
        <v>17</v>
      </c>
      <c r="E87" s="4">
        <v>86558.58</v>
      </c>
      <c r="F87" s="3">
        <v>43887</v>
      </c>
      <c r="G87">
        <v>1</v>
      </c>
      <c r="H87" t="s">
        <v>25</v>
      </c>
      <c r="I87" t="s">
        <v>13</v>
      </c>
    </row>
    <row r="88" spans="1:9" x14ac:dyDescent="0.25">
      <c r="A88" t="s">
        <v>205</v>
      </c>
      <c r="B88" t="s">
        <v>206</v>
      </c>
      <c r="C88" t="s">
        <v>16</v>
      </c>
      <c r="D88" t="s">
        <v>41</v>
      </c>
      <c r="E88" s="4">
        <v>84309.95</v>
      </c>
      <c r="F88" s="3">
        <v>44501</v>
      </c>
      <c r="G88">
        <v>1</v>
      </c>
      <c r="H88" t="s">
        <v>12</v>
      </c>
      <c r="I88" t="s">
        <v>13</v>
      </c>
    </row>
    <row r="89" spans="1:9" x14ac:dyDescent="0.25">
      <c r="A89" t="s">
        <v>207</v>
      </c>
      <c r="B89" t="s">
        <v>208</v>
      </c>
      <c r="C89" t="s">
        <v>11</v>
      </c>
      <c r="D89" t="s">
        <v>71</v>
      </c>
      <c r="E89" s="4">
        <v>91645.04</v>
      </c>
      <c r="F89" s="3">
        <v>44223</v>
      </c>
      <c r="G89">
        <v>1</v>
      </c>
      <c r="H89" t="s">
        <v>12</v>
      </c>
      <c r="I89" t="s">
        <v>54</v>
      </c>
    </row>
    <row r="90" spans="1:9" x14ac:dyDescent="0.25">
      <c r="A90" t="s">
        <v>209</v>
      </c>
      <c r="B90" t="s">
        <v>210</v>
      </c>
      <c r="C90" t="s">
        <v>16</v>
      </c>
      <c r="D90" t="s">
        <v>24</v>
      </c>
      <c r="E90" s="4">
        <v>101187.36</v>
      </c>
      <c r="F90" s="3">
        <v>43258</v>
      </c>
      <c r="G90">
        <v>1</v>
      </c>
      <c r="H90" t="s">
        <v>25</v>
      </c>
      <c r="I90" t="s">
        <v>50</v>
      </c>
    </row>
    <row r="91" spans="1:9" x14ac:dyDescent="0.25">
      <c r="A91" t="s">
        <v>211</v>
      </c>
      <c r="B91" t="s">
        <v>212</v>
      </c>
      <c r="C91" t="s">
        <v>16</v>
      </c>
      <c r="D91" t="s">
        <v>35</v>
      </c>
      <c r="E91" s="4">
        <v>104038.9</v>
      </c>
      <c r="F91" s="3">
        <v>43815</v>
      </c>
      <c r="G91">
        <v>1</v>
      </c>
      <c r="H91" t="s">
        <v>25</v>
      </c>
      <c r="I91" t="s">
        <v>13</v>
      </c>
    </row>
    <row r="92" spans="1:9" x14ac:dyDescent="0.25">
      <c r="A92" t="s">
        <v>213</v>
      </c>
      <c r="B92" t="s">
        <v>214</v>
      </c>
      <c r="C92" t="s">
        <v>16</v>
      </c>
      <c r="D92" t="s">
        <v>41</v>
      </c>
      <c r="E92" s="4">
        <v>99683.67</v>
      </c>
      <c r="F92" s="3">
        <v>43500</v>
      </c>
      <c r="G92">
        <v>1</v>
      </c>
      <c r="H92" t="s">
        <v>25</v>
      </c>
      <c r="I92" t="s">
        <v>18</v>
      </c>
    </row>
    <row r="93" spans="1:9" x14ac:dyDescent="0.25">
      <c r="A93" t="s">
        <v>215</v>
      </c>
      <c r="B93" t="s">
        <v>216</v>
      </c>
      <c r="C93" t="s">
        <v>11</v>
      </c>
      <c r="D93" t="s">
        <v>31</v>
      </c>
      <c r="E93" s="4">
        <v>47362.62</v>
      </c>
      <c r="F93" s="3">
        <v>43973</v>
      </c>
      <c r="G93">
        <v>1</v>
      </c>
      <c r="H93" t="s">
        <v>53</v>
      </c>
      <c r="I93" t="s">
        <v>13</v>
      </c>
    </row>
    <row r="94" spans="1:9" x14ac:dyDescent="0.25">
      <c r="A94" t="s">
        <v>217</v>
      </c>
      <c r="B94" t="s">
        <v>218</v>
      </c>
      <c r="C94" t="s">
        <v>16</v>
      </c>
      <c r="D94" t="s">
        <v>17</v>
      </c>
      <c r="E94" s="4">
        <v>70649.460000000006</v>
      </c>
      <c r="F94" s="3">
        <v>43843</v>
      </c>
      <c r="G94">
        <v>1</v>
      </c>
      <c r="H94" t="s">
        <v>12</v>
      </c>
      <c r="I94" t="s">
        <v>28</v>
      </c>
    </row>
    <row r="95" spans="1:9" x14ac:dyDescent="0.25">
      <c r="A95" t="s">
        <v>219</v>
      </c>
      <c r="B95" t="s">
        <v>220</v>
      </c>
      <c r="C95" t="s">
        <v>16</v>
      </c>
      <c r="D95" t="s">
        <v>92</v>
      </c>
      <c r="E95" s="4">
        <v>75733.740000000005</v>
      </c>
      <c r="F95" s="3">
        <v>44382</v>
      </c>
      <c r="G95">
        <v>1</v>
      </c>
      <c r="H95" t="s">
        <v>12</v>
      </c>
      <c r="I95" t="s">
        <v>28</v>
      </c>
    </row>
    <row r="96" spans="1:9" x14ac:dyDescent="0.25">
      <c r="A96" t="s">
        <v>221</v>
      </c>
      <c r="B96" t="s">
        <v>222</v>
      </c>
      <c r="C96" t="s">
        <v>16</v>
      </c>
      <c r="D96" t="s">
        <v>71</v>
      </c>
      <c r="E96" s="4">
        <v>71823.56</v>
      </c>
      <c r="F96" s="3">
        <v>43374</v>
      </c>
      <c r="G96">
        <v>0.3</v>
      </c>
      <c r="H96" t="s">
        <v>53</v>
      </c>
      <c r="I96" t="s">
        <v>13</v>
      </c>
    </row>
    <row r="97" spans="1:9" x14ac:dyDescent="0.25">
      <c r="A97" t="s">
        <v>223</v>
      </c>
      <c r="B97" t="s">
        <v>224</v>
      </c>
      <c r="C97" t="s">
        <v>16</v>
      </c>
      <c r="D97" t="s">
        <v>74</v>
      </c>
      <c r="E97" s="4">
        <v>41934.71</v>
      </c>
      <c r="F97" s="3">
        <v>43943</v>
      </c>
      <c r="G97">
        <v>1</v>
      </c>
      <c r="H97" t="s">
        <v>12</v>
      </c>
      <c r="I97" t="s">
        <v>13</v>
      </c>
    </row>
    <row r="98" spans="1:9" x14ac:dyDescent="0.25">
      <c r="A98" t="s">
        <v>225</v>
      </c>
      <c r="B98" t="s">
        <v>226</v>
      </c>
      <c r="C98" t="s">
        <v>11</v>
      </c>
      <c r="D98" t="s">
        <v>92</v>
      </c>
      <c r="E98" s="4">
        <v>66572.58</v>
      </c>
      <c r="F98" s="3">
        <v>44193</v>
      </c>
      <c r="G98">
        <v>1</v>
      </c>
      <c r="H98" t="s">
        <v>12</v>
      </c>
      <c r="I98" t="s">
        <v>59</v>
      </c>
    </row>
    <row r="99" spans="1:9" x14ac:dyDescent="0.25">
      <c r="A99" t="s">
        <v>227</v>
      </c>
      <c r="B99" t="s">
        <v>228</v>
      </c>
      <c r="C99" t="s">
        <v>11</v>
      </c>
      <c r="D99" t="s">
        <v>38</v>
      </c>
      <c r="E99" s="4">
        <v>76932.600000000006</v>
      </c>
      <c r="F99" s="3">
        <v>43493</v>
      </c>
      <c r="G99">
        <v>1</v>
      </c>
      <c r="H99" t="s">
        <v>12</v>
      </c>
      <c r="I99" t="s">
        <v>28</v>
      </c>
    </row>
    <row r="100" spans="1:9" x14ac:dyDescent="0.25">
      <c r="A100" t="s">
        <v>229</v>
      </c>
      <c r="B100" t="s">
        <v>230</v>
      </c>
      <c r="C100" t="s">
        <v>11</v>
      </c>
      <c r="D100" t="s">
        <v>35</v>
      </c>
      <c r="E100" s="4">
        <v>59258.19</v>
      </c>
      <c r="F100" s="3">
        <v>43452</v>
      </c>
      <c r="G100">
        <v>0.8</v>
      </c>
      <c r="H100" t="s">
        <v>12</v>
      </c>
      <c r="I100" t="s">
        <v>18</v>
      </c>
    </row>
    <row r="101" spans="1:9" x14ac:dyDescent="0.25">
      <c r="A101" t="s">
        <v>231</v>
      </c>
      <c r="B101" t="s">
        <v>232</v>
      </c>
      <c r="C101" t="s">
        <v>11</v>
      </c>
      <c r="D101" t="s">
        <v>24</v>
      </c>
      <c r="E101" s="4">
        <v>112778.28</v>
      </c>
      <c r="F101" s="3">
        <v>43250</v>
      </c>
      <c r="G101">
        <v>1</v>
      </c>
      <c r="H101" t="s">
        <v>25</v>
      </c>
      <c r="I101" t="s">
        <v>13</v>
      </c>
    </row>
    <row r="102" spans="1:9" x14ac:dyDescent="0.25">
      <c r="A102" t="s">
        <v>233</v>
      </c>
      <c r="B102" t="s">
        <v>234</v>
      </c>
      <c r="C102" t="s">
        <v>16</v>
      </c>
      <c r="D102" t="s">
        <v>71</v>
      </c>
      <c r="E102" s="4">
        <v>44845.33</v>
      </c>
      <c r="F102" s="3">
        <v>43277</v>
      </c>
      <c r="G102">
        <v>1</v>
      </c>
      <c r="H102" t="s">
        <v>12</v>
      </c>
      <c r="I102" t="s">
        <v>18</v>
      </c>
    </row>
    <row r="103" spans="1:9" x14ac:dyDescent="0.25">
      <c r="A103" t="s">
        <v>235</v>
      </c>
      <c r="B103" t="s">
        <v>236</v>
      </c>
      <c r="C103" t="s">
        <v>11</v>
      </c>
      <c r="D103" t="s">
        <v>87</v>
      </c>
      <c r="E103" s="4">
        <v>115191.38</v>
      </c>
      <c r="F103" s="3">
        <v>44004</v>
      </c>
      <c r="G103">
        <v>1</v>
      </c>
      <c r="H103" t="s">
        <v>12</v>
      </c>
      <c r="I103" t="s">
        <v>28</v>
      </c>
    </row>
    <row r="104" spans="1:9" x14ac:dyDescent="0.25">
      <c r="A104" t="s">
        <v>237</v>
      </c>
      <c r="B104" t="s">
        <v>238</v>
      </c>
      <c r="C104" t="s">
        <v>16</v>
      </c>
      <c r="D104" t="s">
        <v>92</v>
      </c>
      <c r="E104" s="4">
        <v>111049.84</v>
      </c>
      <c r="F104" s="3">
        <v>44393</v>
      </c>
      <c r="G104">
        <v>1</v>
      </c>
      <c r="H104" t="s">
        <v>12</v>
      </c>
      <c r="I104" t="s">
        <v>32</v>
      </c>
    </row>
    <row r="105" spans="1:9" x14ac:dyDescent="0.25">
      <c r="A105" t="s">
        <v>239</v>
      </c>
      <c r="B105" t="s">
        <v>240</v>
      </c>
      <c r="C105" t="s">
        <v>16</v>
      </c>
      <c r="D105" t="s">
        <v>35</v>
      </c>
      <c r="E105" s="4">
        <v>75974.990000000005</v>
      </c>
      <c r="F105" s="3">
        <v>44172</v>
      </c>
      <c r="G105">
        <v>1</v>
      </c>
      <c r="H105" t="s">
        <v>12</v>
      </c>
      <c r="I105" t="s">
        <v>13</v>
      </c>
    </row>
    <row r="106" spans="1:9" x14ac:dyDescent="0.25">
      <c r="A106" t="s">
        <v>241</v>
      </c>
      <c r="B106" t="s">
        <v>242</v>
      </c>
      <c r="C106" t="s">
        <v>16</v>
      </c>
      <c r="D106" t="s">
        <v>21</v>
      </c>
      <c r="E106" s="4">
        <v>42161.77</v>
      </c>
      <c r="F106" s="3">
        <v>43494</v>
      </c>
      <c r="G106">
        <v>1</v>
      </c>
      <c r="H106" t="s">
        <v>12</v>
      </c>
      <c r="I106" t="s">
        <v>54</v>
      </c>
    </row>
    <row r="107" spans="1:9" x14ac:dyDescent="0.25">
      <c r="A107" t="s">
        <v>243</v>
      </c>
      <c r="B107" t="s">
        <v>244</v>
      </c>
      <c r="C107" t="s">
        <v>11</v>
      </c>
      <c r="D107" t="s">
        <v>17</v>
      </c>
      <c r="E107" s="4">
        <v>71371.37</v>
      </c>
      <c r="F107" s="3">
        <v>43392</v>
      </c>
      <c r="G107">
        <v>1</v>
      </c>
      <c r="H107" t="s">
        <v>12</v>
      </c>
      <c r="I107" t="s">
        <v>28</v>
      </c>
    </row>
    <row r="108" spans="1:9" x14ac:dyDescent="0.25">
      <c r="A108" t="s">
        <v>245</v>
      </c>
      <c r="B108" t="s">
        <v>246</v>
      </c>
      <c r="C108" t="s">
        <v>11</v>
      </c>
      <c r="D108" t="s">
        <v>71</v>
      </c>
      <c r="E108" s="4">
        <v>49915.14</v>
      </c>
      <c r="F108" s="3">
        <v>43550</v>
      </c>
      <c r="G108">
        <v>1</v>
      </c>
      <c r="H108" t="s">
        <v>12</v>
      </c>
      <c r="I108" t="s">
        <v>13</v>
      </c>
    </row>
    <row r="109" spans="1:9" x14ac:dyDescent="0.25">
      <c r="A109" t="s">
        <v>247</v>
      </c>
      <c r="B109" t="s">
        <v>248</v>
      </c>
      <c r="C109" t="s">
        <v>11</v>
      </c>
      <c r="D109" t="s">
        <v>35</v>
      </c>
      <c r="E109" s="4">
        <v>37062.1</v>
      </c>
      <c r="F109" s="3">
        <v>44357</v>
      </c>
      <c r="G109">
        <v>1</v>
      </c>
      <c r="H109" t="s">
        <v>53</v>
      </c>
      <c r="I109" t="s">
        <v>59</v>
      </c>
    </row>
    <row r="110" spans="1:9" x14ac:dyDescent="0.25">
      <c r="A110" t="s">
        <v>249</v>
      </c>
      <c r="B110" t="s">
        <v>250</v>
      </c>
      <c r="C110" t="s">
        <v>16</v>
      </c>
      <c r="D110" t="s">
        <v>41</v>
      </c>
      <c r="E110" s="4">
        <v>0</v>
      </c>
      <c r="F110" s="3">
        <v>43504</v>
      </c>
      <c r="G110">
        <v>1</v>
      </c>
      <c r="H110" t="s">
        <v>12</v>
      </c>
      <c r="I110" t="s">
        <v>13</v>
      </c>
    </row>
    <row r="111" spans="1:9" x14ac:dyDescent="0.25">
      <c r="A111" t="s">
        <v>251</v>
      </c>
      <c r="B111" t="s">
        <v>252</v>
      </c>
      <c r="C111" t="s">
        <v>11</v>
      </c>
      <c r="D111" t="s">
        <v>71</v>
      </c>
      <c r="F111" s="3">
        <v>44077</v>
      </c>
      <c r="G111">
        <v>1</v>
      </c>
      <c r="H111" t="s">
        <v>25</v>
      </c>
      <c r="I111" t="s">
        <v>50</v>
      </c>
    </row>
    <row r="112" spans="1:9" x14ac:dyDescent="0.25">
      <c r="A112" t="s">
        <v>253</v>
      </c>
      <c r="B112" t="s">
        <v>254</v>
      </c>
      <c r="C112" t="s">
        <v>11</v>
      </c>
      <c r="D112" t="s">
        <v>92</v>
      </c>
      <c r="E112" s="4">
        <v>89838.77</v>
      </c>
      <c r="F112" s="3">
        <v>43602</v>
      </c>
      <c r="G112">
        <v>1</v>
      </c>
      <c r="H112" t="s">
        <v>12</v>
      </c>
      <c r="I112" t="s">
        <v>13</v>
      </c>
    </row>
    <row r="113" spans="1:9" x14ac:dyDescent="0.25">
      <c r="A113" t="s">
        <v>255</v>
      </c>
      <c r="B113" t="s">
        <v>256</v>
      </c>
      <c r="C113" t="s">
        <v>11</v>
      </c>
      <c r="D113" t="s">
        <v>92</v>
      </c>
      <c r="E113" s="4">
        <v>0</v>
      </c>
      <c r="F113" s="3">
        <v>44462</v>
      </c>
      <c r="G113">
        <v>1</v>
      </c>
      <c r="H113" t="s">
        <v>12</v>
      </c>
      <c r="I113" t="s">
        <v>59</v>
      </c>
    </row>
    <row r="114" spans="1:9" x14ac:dyDescent="0.25">
      <c r="A114" t="s">
        <v>257</v>
      </c>
      <c r="B114" t="s">
        <v>258</v>
      </c>
      <c r="C114" t="s">
        <v>16</v>
      </c>
      <c r="D114" t="s">
        <v>71</v>
      </c>
      <c r="E114" s="4">
        <v>68887.839999999997</v>
      </c>
      <c r="F114" s="3">
        <v>43297</v>
      </c>
      <c r="G114">
        <v>1</v>
      </c>
      <c r="H114" t="s">
        <v>12</v>
      </c>
      <c r="I114" t="s">
        <v>13</v>
      </c>
    </row>
    <row r="115" spans="1:9" x14ac:dyDescent="0.25">
      <c r="A115" t="s">
        <v>259</v>
      </c>
      <c r="B115" t="s">
        <v>84</v>
      </c>
      <c r="C115" t="s">
        <v>16</v>
      </c>
      <c r="D115" t="s">
        <v>21</v>
      </c>
      <c r="E115" s="4">
        <v>89690.38</v>
      </c>
      <c r="F115" s="3">
        <v>43213</v>
      </c>
      <c r="G115">
        <v>1</v>
      </c>
      <c r="H115" t="s">
        <v>12</v>
      </c>
      <c r="I115" t="s">
        <v>28</v>
      </c>
    </row>
    <row r="116" spans="1:9" x14ac:dyDescent="0.25">
      <c r="A116" t="s">
        <v>260</v>
      </c>
      <c r="B116" t="s">
        <v>261</v>
      </c>
      <c r="C116" t="s">
        <v>11</v>
      </c>
      <c r="D116" t="s">
        <v>87</v>
      </c>
      <c r="E116" s="4">
        <v>111229.47</v>
      </c>
      <c r="F116" s="3">
        <v>43402</v>
      </c>
      <c r="G116">
        <v>1</v>
      </c>
      <c r="H116" t="s">
        <v>12</v>
      </c>
      <c r="I116" t="s">
        <v>13</v>
      </c>
    </row>
    <row r="117" spans="1:9" x14ac:dyDescent="0.25">
      <c r="A117" t="s">
        <v>262</v>
      </c>
      <c r="B117" t="s">
        <v>263</v>
      </c>
      <c r="C117" t="s">
        <v>11</v>
      </c>
      <c r="D117" t="s">
        <v>71</v>
      </c>
      <c r="E117" s="4">
        <v>67633.850000000006</v>
      </c>
      <c r="F117" s="3">
        <v>43340</v>
      </c>
      <c r="G117">
        <v>1</v>
      </c>
      <c r="H117" t="s">
        <v>12</v>
      </c>
      <c r="I117" t="s">
        <v>50</v>
      </c>
    </row>
    <row r="118" spans="1:9" x14ac:dyDescent="0.25">
      <c r="A118" t="s">
        <v>264</v>
      </c>
      <c r="B118" t="s">
        <v>265</v>
      </c>
      <c r="C118" t="s">
        <v>11</v>
      </c>
      <c r="D118" t="s">
        <v>21</v>
      </c>
      <c r="E118" s="4">
        <v>111815.49</v>
      </c>
      <c r="F118" s="3">
        <v>43895</v>
      </c>
      <c r="G118">
        <v>0.7</v>
      </c>
      <c r="H118" t="s">
        <v>53</v>
      </c>
      <c r="I118" t="s">
        <v>13</v>
      </c>
    </row>
    <row r="119" spans="1:9" x14ac:dyDescent="0.25">
      <c r="A119" t="s">
        <v>266</v>
      </c>
      <c r="B119" t="s">
        <v>267</v>
      </c>
      <c r="C119" t="s">
        <v>11</v>
      </c>
      <c r="D119" t="s">
        <v>17</v>
      </c>
      <c r="E119" s="4">
        <v>39784.239999999998</v>
      </c>
      <c r="F119" s="3">
        <v>43465</v>
      </c>
      <c r="G119">
        <v>1</v>
      </c>
      <c r="H119" t="s">
        <v>25</v>
      </c>
      <c r="I119" t="s">
        <v>59</v>
      </c>
    </row>
    <row r="120" spans="1:9" x14ac:dyDescent="0.25">
      <c r="A120" t="s">
        <v>268</v>
      </c>
      <c r="B120" t="s">
        <v>269</v>
      </c>
      <c r="C120" t="s">
        <v>16</v>
      </c>
      <c r="D120" t="s">
        <v>87</v>
      </c>
      <c r="E120" s="4">
        <v>89829.33</v>
      </c>
      <c r="F120" s="3">
        <v>43794</v>
      </c>
      <c r="G120">
        <v>1</v>
      </c>
      <c r="H120" t="s">
        <v>53</v>
      </c>
      <c r="I120" t="s">
        <v>59</v>
      </c>
    </row>
    <row r="121" spans="1:9" x14ac:dyDescent="0.25">
      <c r="A121" t="s">
        <v>270</v>
      </c>
      <c r="B121" t="s">
        <v>271</v>
      </c>
      <c r="C121" t="s">
        <v>11</v>
      </c>
      <c r="D121" t="s">
        <v>92</v>
      </c>
      <c r="E121" s="4">
        <v>72843.23</v>
      </c>
      <c r="F121" s="3">
        <v>43280</v>
      </c>
      <c r="G121">
        <v>1</v>
      </c>
      <c r="H121" t="s">
        <v>25</v>
      </c>
      <c r="I121" t="s">
        <v>32</v>
      </c>
    </row>
    <row r="122" spans="1:9" x14ac:dyDescent="0.25">
      <c r="A122" t="s">
        <v>272</v>
      </c>
      <c r="B122" t="s">
        <v>273</v>
      </c>
      <c r="C122" t="s">
        <v>11</v>
      </c>
      <c r="D122" t="s">
        <v>17</v>
      </c>
      <c r="E122" s="4">
        <v>88511.17</v>
      </c>
      <c r="F122" s="3">
        <v>43950</v>
      </c>
      <c r="G122">
        <v>1</v>
      </c>
      <c r="H122" t="s">
        <v>12</v>
      </c>
      <c r="I122" t="s">
        <v>50</v>
      </c>
    </row>
    <row r="123" spans="1:9" x14ac:dyDescent="0.25">
      <c r="A123" t="s">
        <v>274</v>
      </c>
      <c r="B123" t="s">
        <v>275</v>
      </c>
      <c r="C123" t="s">
        <v>11</v>
      </c>
      <c r="D123" t="s">
        <v>71</v>
      </c>
      <c r="E123" s="4">
        <v>36547.58</v>
      </c>
      <c r="F123" s="3">
        <v>43416</v>
      </c>
      <c r="G123">
        <v>1</v>
      </c>
      <c r="H123" t="s">
        <v>12</v>
      </c>
      <c r="I123" t="s">
        <v>13</v>
      </c>
    </row>
    <row r="124" spans="1:9" x14ac:dyDescent="0.25">
      <c r="A124" t="s">
        <v>276</v>
      </c>
      <c r="B124" t="s">
        <v>277</v>
      </c>
      <c r="C124" t="s">
        <v>11</v>
      </c>
      <c r="D124" t="s">
        <v>71</v>
      </c>
      <c r="E124" s="4">
        <v>95954.02</v>
      </c>
      <c r="F124" s="3">
        <v>43567</v>
      </c>
      <c r="G124">
        <v>0.3</v>
      </c>
      <c r="H124" t="s">
        <v>12</v>
      </c>
      <c r="I124" t="s">
        <v>28</v>
      </c>
    </row>
    <row r="125" spans="1:9" x14ac:dyDescent="0.25">
      <c r="A125" t="s">
        <v>278</v>
      </c>
      <c r="B125" t="s">
        <v>279</v>
      </c>
      <c r="C125" t="s">
        <v>16</v>
      </c>
      <c r="D125" t="s">
        <v>24</v>
      </c>
      <c r="E125" s="4">
        <v>95677.9</v>
      </c>
      <c r="F125" s="3">
        <v>44396</v>
      </c>
      <c r="G125">
        <v>0.3</v>
      </c>
      <c r="H125" t="s">
        <v>12</v>
      </c>
      <c r="I125" t="s">
        <v>59</v>
      </c>
    </row>
    <row r="126" spans="1:9" x14ac:dyDescent="0.25">
      <c r="A126" t="s">
        <v>280</v>
      </c>
      <c r="B126" t="s">
        <v>281</v>
      </c>
      <c r="C126" t="s">
        <v>16</v>
      </c>
      <c r="D126" t="s">
        <v>71</v>
      </c>
      <c r="E126" s="4">
        <v>76303.820000000007</v>
      </c>
      <c r="F126" s="3">
        <v>43458</v>
      </c>
      <c r="G126">
        <v>1</v>
      </c>
      <c r="H126" t="s">
        <v>25</v>
      </c>
      <c r="I126" t="s">
        <v>28</v>
      </c>
    </row>
    <row r="127" spans="1:9" x14ac:dyDescent="0.25">
      <c r="A127" t="s">
        <v>282</v>
      </c>
      <c r="B127" t="s">
        <v>283</v>
      </c>
      <c r="C127" t="s">
        <v>16</v>
      </c>
      <c r="D127" t="s">
        <v>41</v>
      </c>
      <c r="F127" s="3">
        <v>43538</v>
      </c>
      <c r="G127">
        <v>1</v>
      </c>
      <c r="H127" t="s">
        <v>12</v>
      </c>
      <c r="I127" t="s">
        <v>54</v>
      </c>
    </row>
    <row r="128" spans="1:9" x14ac:dyDescent="0.25">
      <c r="A128" t="s">
        <v>284</v>
      </c>
      <c r="B128" t="s">
        <v>285</v>
      </c>
      <c r="C128" t="s">
        <v>11</v>
      </c>
      <c r="D128" t="s">
        <v>92</v>
      </c>
      <c r="E128" s="4">
        <v>99460.78</v>
      </c>
      <c r="F128" s="3">
        <v>43956</v>
      </c>
      <c r="G128">
        <v>1</v>
      </c>
      <c r="H128" t="s">
        <v>12</v>
      </c>
      <c r="I128" t="s">
        <v>13</v>
      </c>
    </row>
    <row r="129" spans="1:9" x14ac:dyDescent="0.25">
      <c r="A129" t="s">
        <v>286</v>
      </c>
      <c r="B129" t="s">
        <v>287</v>
      </c>
      <c r="C129" t="s">
        <v>16</v>
      </c>
      <c r="D129" t="s">
        <v>35</v>
      </c>
      <c r="E129" s="4">
        <v>88034.67</v>
      </c>
      <c r="F129" s="3">
        <v>43669</v>
      </c>
      <c r="G129">
        <v>1</v>
      </c>
      <c r="H129" t="s">
        <v>12</v>
      </c>
      <c r="I129" t="s">
        <v>13</v>
      </c>
    </row>
    <row r="130" spans="1:9" x14ac:dyDescent="0.25">
      <c r="A130" t="s">
        <v>288</v>
      </c>
      <c r="B130" t="s">
        <v>289</v>
      </c>
      <c r="C130" t="s">
        <v>16</v>
      </c>
      <c r="D130" t="s">
        <v>41</v>
      </c>
      <c r="E130" s="4">
        <v>44447.26</v>
      </c>
      <c r="F130" s="3">
        <v>43846</v>
      </c>
      <c r="G130">
        <v>0.4</v>
      </c>
      <c r="H130" t="s">
        <v>12</v>
      </c>
      <c r="I130" t="s">
        <v>18</v>
      </c>
    </row>
    <row r="131" spans="1:9" x14ac:dyDescent="0.25">
      <c r="A131" t="s">
        <v>290</v>
      </c>
      <c r="B131" t="s">
        <v>291</v>
      </c>
      <c r="C131" t="s">
        <v>11</v>
      </c>
      <c r="D131" t="s">
        <v>87</v>
      </c>
      <c r="E131" s="4">
        <v>40445.29</v>
      </c>
      <c r="F131" s="3">
        <v>44393</v>
      </c>
      <c r="G131">
        <v>1</v>
      </c>
      <c r="H131" t="s">
        <v>12</v>
      </c>
      <c r="I131" t="s">
        <v>59</v>
      </c>
    </row>
    <row r="132" spans="1:9" x14ac:dyDescent="0.25">
      <c r="A132" t="s">
        <v>292</v>
      </c>
      <c r="B132" t="s">
        <v>293</v>
      </c>
      <c r="C132" t="s">
        <v>16</v>
      </c>
      <c r="D132" t="s">
        <v>41</v>
      </c>
      <c r="E132" s="4">
        <v>92336.08</v>
      </c>
      <c r="F132" s="3">
        <v>44431</v>
      </c>
      <c r="G132">
        <v>1</v>
      </c>
      <c r="H132" t="s">
        <v>12</v>
      </c>
      <c r="I132" t="s">
        <v>28</v>
      </c>
    </row>
    <row r="133" spans="1:9" x14ac:dyDescent="0.25">
      <c r="A133" t="s">
        <v>294</v>
      </c>
      <c r="B133" t="s">
        <v>295</v>
      </c>
      <c r="C133" t="s">
        <v>16</v>
      </c>
      <c r="D133" t="s">
        <v>38</v>
      </c>
      <c r="E133" s="4">
        <v>68008.55</v>
      </c>
      <c r="F133" s="3">
        <v>44062</v>
      </c>
      <c r="G133">
        <v>1</v>
      </c>
      <c r="H133" t="s">
        <v>12</v>
      </c>
      <c r="I133" t="s">
        <v>54</v>
      </c>
    </row>
    <row r="134" spans="1:9" x14ac:dyDescent="0.25">
      <c r="A134" t="s">
        <v>296</v>
      </c>
      <c r="B134" t="s">
        <v>297</v>
      </c>
      <c r="C134" t="s">
        <v>11</v>
      </c>
      <c r="D134" t="s">
        <v>87</v>
      </c>
      <c r="E134" s="4">
        <v>74924.649999999994</v>
      </c>
      <c r="F134" s="3">
        <v>44239</v>
      </c>
      <c r="G134">
        <v>1</v>
      </c>
      <c r="H134" t="s">
        <v>12</v>
      </c>
      <c r="I134" t="s">
        <v>28</v>
      </c>
    </row>
    <row r="135" spans="1:9" x14ac:dyDescent="0.25">
      <c r="A135" t="s">
        <v>298</v>
      </c>
      <c r="B135" t="s">
        <v>299</v>
      </c>
      <c r="C135" t="s">
        <v>11</v>
      </c>
      <c r="D135" t="s">
        <v>21</v>
      </c>
      <c r="E135" s="4">
        <v>88689.09</v>
      </c>
      <c r="F135" s="3">
        <v>43740</v>
      </c>
      <c r="G135">
        <v>1</v>
      </c>
      <c r="H135" t="s">
        <v>12</v>
      </c>
      <c r="I135" t="s">
        <v>18</v>
      </c>
    </row>
    <row r="136" spans="1:9" x14ac:dyDescent="0.25">
      <c r="A136" t="s">
        <v>300</v>
      </c>
      <c r="B136" t="s">
        <v>301</v>
      </c>
      <c r="C136" t="s">
        <v>16</v>
      </c>
      <c r="D136" t="s">
        <v>41</v>
      </c>
      <c r="E136" s="4">
        <v>96555.53</v>
      </c>
      <c r="F136" s="3">
        <v>43489</v>
      </c>
      <c r="G136">
        <v>0.2</v>
      </c>
      <c r="H136" t="s">
        <v>53</v>
      </c>
      <c r="I136" t="s">
        <v>28</v>
      </c>
    </row>
    <row r="137" spans="1:9" x14ac:dyDescent="0.25">
      <c r="A137" t="s">
        <v>302</v>
      </c>
      <c r="B137" t="s">
        <v>303</v>
      </c>
      <c r="C137" t="s">
        <v>16</v>
      </c>
      <c r="D137" t="s">
        <v>35</v>
      </c>
      <c r="E137" s="4">
        <v>71924.850000000006</v>
      </c>
      <c r="F137" s="3">
        <v>43822</v>
      </c>
      <c r="G137">
        <v>1</v>
      </c>
      <c r="H137" t="s">
        <v>12</v>
      </c>
      <c r="I137" t="s">
        <v>59</v>
      </c>
    </row>
    <row r="138" spans="1:9" x14ac:dyDescent="0.25">
      <c r="A138" t="s">
        <v>304</v>
      </c>
      <c r="B138" t="s">
        <v>305</v>
      </c>
      <c r="C138" t="s">
        <v>11</v>
      </c>
      <c r="D138" t="s">
        <v>87</v>
      </c>
      <c r="E138" s="4">
        <v>31241.24</v>
      </c>
      <c r="F138" s="3">
        <v>43725</v>
      </c>
      <c r="G138">
        <v>1</v>
      </c>
      <c r="H138" t="s">
        <v>12</v>
      </c>
      <c r="I138" t="s">
        <v>13</v>
      </c>
    </row>
    <row r="139" spans="1:9" x14ac:dyDescent="0.25">
      <c r="A139" t="s">
        <v>306</v>
      </c>
      <c r="B139" t="s">
        <v>307</v>
      </c>
      <c r="C139" t="s">
        <v>11</v>
      </c>
      <c r="D139" t="s">
        <v>17</v>
      </c>
      <c r="E139" s="4">
        <v>110042.37</v>
      </c>
      <c r="F139" s="3">
        <v>43914</v>
      </c>
      <c r="G139">
        <v>1</v>
      </c>
      <c r="H139" t="s">
        <v>12</v>
      </c>
      <c r="I139" t="s">
        <v>50</v>
      </c>
    </row>
    <row r="140" spans="1:9" x14ac:dyDescent="0.25">
      <c r="A140" t="s">
        <v>308</v>
      </c>
      <c r="B140" t="s">
        <v>309</v>
      </c>
      <c r="C140" t="s">
        <v>16</v>
      </c>
      <c r="D140" t="s">
        <v>17</v>
      </c>
      <c r="E140" s="4">
        <v>33031.26</v>
      </c>
      <c r="F140" s="3">
        <v>43468</v>
      </c>
      <c r="G140">
        <v>0.4</v>
      </c>
      <c r="H140" t="s">
        <v>12</v>
      </c>
      <c r="I140" t="s">
        <v>28</v>
      </c>
    </row>
    <row r="141" spans="1:9" x14ac:dyDescent="0.25">
      <c r="A141" t="s">
        <v>310</v>
      </c>
      <c r="B141" t="s">
        <v>311</v>
      </c>
      <c r="C141" t="s">
        <v>16</v>
      </c>
      <c r="D141" t="s">
        <v>92</v>
      </c>
      <c r="E141" s="4">
        <v>32496.880000000001</v>
      </c>
      <c r="F141" s="3">
        <v>43234</v>
      </c>
      <c r="G141">
        <v>1</v>
      </c>
      <c r="H141" t="s">
        <v>53</v>
      </c>
      <c r="I141" t="s">
        <v>13</v>
      </c>
    </row>
    <row r="142" spans="1:9" x14ac:dyDescent="0.25">
      <c r="A142" t="s">
        <v>312</v>
      </c>
      <c r="B142" t="s">
        <v>313</v>
      </c>
      <c r="C142" t="s">
        <v>16</v>
      </c>
      <c r="D142" t="s">
        <v>21</v>
      </c>
      <c r="E142" s="4">
        <v>81897.789999999994</v>
      </c>
      <c r="F142" s="3">
        <v>43146</v>
      </c>
      <c r="G142">
        <v>1</v>
      </c>
      <c r="H142" t="s">
        <v>12</v>
      </c>
      <c r="I142" t="s">
        <v>54</v>
      </c>
    </row>
    <row r="143" spans="1:9" x14ac:dyDescent="0.25">
      <c r="A143" t="s">
        <v>314</v>
      </c>
      <c r="B143" t="s">
        <v>315</v>
      </c>
      <c r="C143" t="s">
        <v>11</v>
      </c>
      <c r="D143" t="s">
        <v>31</v>
      </c>
      <c r="E143" s="4">
        <v>108872.77</v>
      </c>
      <c r="F143" s="3">
        <v>43521</v>
      </c>
      <c r="G143">
        <v>1</v>
      </c>
      <c r="H143" t="s">
        <v>12</v>
      </c>
      <c r="I143" t="s">
        <v>13</v>
      </c>
    </row>
    <row r="144" spans="1:9" x14ac:dyDescent="0.25">
      <c r="A144" t="s">
        <v>316</v>
      </c>
      <c r="B144" t="s">
        <v>317</v>
      </c>
      <c r="C144" t="s">
        <v>11</v>
      </c>
      <c r="D144" t="s">
        <v>38</v>
      </c>
      <c r="E144" s="4">
        <v>89605.13</v>
      </c>
      <c r="F144" s="3">
        <v>43258</v>
      </c>
      <c r="G144">
        <v>1</v>
      </c>
      <c r="H144" t="s">
        <v>12</v>
      </c>
      <c r="I144" t="s">
        <v>18</v>
      </c>
    </row>
    <row r="145" spans="1:9" x14ac:dyDescent="0.25">
      <c r="A145" t="s">
        <v>318</v>
      </c>
      <c r="B145" t="s">
        <v>319</v>
      </c>
      <c r="D145" t="s">
        <v>92</v>
      </c>
      <c r="E145" s="4">
        <v>63447.07</v>
      </c>
      <c r="F145" s="3">
        <v>44148</v>
      </c>
      <c r="G145">
        <v>1</v>
      </c>
      <c r="H145" t="s">
        <v>53</v>
      </c>
      <c r="I145" t="s">
        <v>32</v>
      </c>
    </row>
    <row r="146" spans="1:9" x14ac:dyDescent="0.25">
      <c r="A146" t="s">
        <v>320</v>
      </c>
      <c r="B146" t="s">
        <v>321</v>
      </c>
      <c r="C146" t="s">
        <v>16</v>
      </c>
      <c r="D146" t="s">
        <v>87</v>
      </c>
      <c r="E146" s="4">
        <v>106665.67</v>
      </c>
      <c r="F146" s="3">
        <v>43311</v>
      </c>
      <c r="G146">
        <v>1</v>
      </c>
      <c r="H146" t="s">
        <v>53</v>
      </c>
      <c r="I146" t="s">
        <v>50</v>
      </c>
    </row>
    <row r="147" spans="1:9" x14ac:dyDescent="0.25">
      <c r="A147" t="s">
        <v>322</v>
      </c>
      <c r="B147" t="s">
        <v>323</v>
      </c>
      <c r="C147" t="s">
        <v>11</v>
      </c>
      <c r="D147" t="s">
        <v>21</v>
      </c>
      <c r="E147" s="4">
        <v>100424.23</v>
      </c>
      <c r="F147" s="3">
        <v>43801</v>
      </c>
      <c r="G147">
        <v>1</v>
      </c>
      <c r="H147" t="s">
        <v>12</v>
      </c>
      <c r="I147" t="s">
        <v>54</v>
      </c>
    </row>
    <row r="148" spans="1:9" x14ac:dyDescent="0.25">
      <c r="A148" t="s">
        <v>324</v>
      </c>
      <c r="B148" t="s">
        <v>325</v>
      </c>
      <c r="C148" t="s">
        <v>11</v>
      </c>
      <c r="D148" t="s">
        <v>21</v>
      </c>
      <c r="E148" s="4">
        <v>47646.95</v>
      </c>
      <c r="F148" s="3">
        <v>43791</v>
      </c>
      <c r="G148">
        <v>0.3</v>
      </c>
      <c r="H148" t="s">
        <v>25</v>
      </c>
      <c r="I148" t="s">
        <v>59</v>
      </c>
    </row>
    <row r="149" spans="1:9" x14ac:dyDescent="0.25">
      <c r="A149" t="s">
        <v>326</v>
      </c>
      <c r="B149" t="s">
        <v>192</v>
      </c>
      <c r="C149" t="s">
        <v>11</v>
      </c>
      <c r="D149" t="s">
        <v>92</v>
      </c>
      <c r="E149" s="4">
        <v>28481.16</v>
      </c>
      <c r="F149" s="3">
        <v>43916</v>
      </c>
      <c r="G149">
        <v>1</v>
      </c>
      <c r="H149" t="s">
        <v>12</v>
      </c>
      <c r="I149" t="s">
        <v>28</v>
      </c>
    </row>
    <row r="150" spans="1:9" x14ac:dyDescent="0.25">
      <c r="A150" t="s">
        <v>327</v>
      </c>
      <c r="B150" t="s">
        <v>328</v>
      </c>
      <c r="C150" t="s">
        <v>16</v>
      </c>
      <c r="D150" t="s">
        <v>74</v>
      </c>
      <c r="E150" s="4">
        <v>39535.49</v>
      </c>
      <c r="F150" s="3">
        <v>43397</v>
      </c>
      <c r="G150">
        <v>0.3</v>
      </c>
      <c r="H150" t="s">
        <v>12</v>
      </c>
      <c r="I150" t="s">
        <v>13</v>
      </c>
    </row>
    <row r="151" spans="1:9" x14ac:dyDescent="0.25">
      <c r="A151" t="s">
        <v>329</v>
      </c>
      <c r="B151" t="s">
        <v>330</v>
      </c>
      <c r="C151" t="s">
        <v>11</v>
      </c>
      <c r="D151" t="s">
        <v>35</v>
      </c>
      <c r="E151" s="4">
        <v>95017.1</v>
      </c>
      <c r="F151" s="3">
        <v>43283</v>
      </c>
      <c r="G151">
        <v>1</v>
      </c>
      <c r="H151" t="s">
        <v>25</v>
      </c>
      <c r="I151" t="s">
        <v>18</v>
      </c>
    </row>
    <row r="152" spans="1:9" x14ac:dyDescent="0.25">
      <c r="A152" t="s">
        <v>331</v>
      </c>
      <c r="B152" t="s">
        <v>332</v>
      </c>
      <c r="C152" t="s">
        <v>11</v>
      </c>
      <c r="D152" t="s">
        <v>17</v>
      </c>
      <c r="E152" s="4">
        <v>69764.100000000006</v>
      </c>
      <c r="F152" s="3">
        <v>44195</v>
      </c>
      <c r="G152">
        <v>1</v>
      </c>
      <c r="H152" t="s">
        <v>25</v>
      </c>
      <c r="I152" t="s">
        <v>18</v>
      </c>
    </row>
    <row r="153" spans="1:9" x14ac:dyDescent="0.25">
      <c r="A153" t="s">
        <v>333</v>
      </c>
      <c r="B153" t="s">
        <v>334</v>
      </c>
      <c r="C153" t="s">
        <v>16</v>
      </c>
      <c r="D153" t="s">
        <v>74</v>
      </c>
      <c r="E153" s="4">
        <v>84598.88</v>
      </c>
      <c r="F153" s="3">
        <v>44116</v>
      </c>
      <c r="G153">
        <v>1</v>
      </c>
      <c r="H153" t="s">
        <v>25</v>
      </c>
      <c r="I153" t="s">
        <v>18</v>
      </c>
    </row>
    <row r="154" spans="1:9" x14ac:dyDescent="0.25">
      <c r="A154" t="s">
        <v>335</v>
      </c>
      <c r="B154" t="s">
        <v>336</v>
      </c>
      <c r="C154" t="s">
        <v>11</v>
      </c>
      <c r="D154" t="s">
        <v>31</v>
      </c>
      <c r="E154" s="4">
        <v>36536.26</v>
      </c>
      <c r="F154" s="3">
        <v>44358</v>
      </c>
      <c r="G154">
        <v>1</v>
      </c>
      <c r="H154" t="s">
        <v>53</v>
      </c>
      <c r="I154" t="s">
        <v>28</v>
      </c>
    </row>
    <row r="155" spans="1:9" x14ac:dyDescent="0.25">
      <c r="A155" t="s">
        <v>337</v>
      </c>
      <c r="B155" t="s">
        <v>338</v>
      </c>
      <c r="C155" t="s">
        <v>16</v>
      </c>
      <c r="D155" t="s">
        <v>17</v>
      </c>
      <c r="E155" s="4">
        <v>61688.77</v>
      </c>
      <c r="F155" s="3">
        <v>43346</v>
      </c>
      <c r="G155">
        <v>0.9</v>
      </c>
      <c r="H155" t="s">
        <v>12</v>
      </c>
      <c r="I155" t="s">
        <v>59</v>
      </c>
    </row>
    <row r="156" spans="1:9" x14ac:dyDescent="0.25">
      <c r="A156" t="s">
        <v>339</v>
      </c>
      <c r="B156" t="s">
        <v>340</v>
      </c>
      <c r="C156" t="s">
        <v>16</v>
      </c>
      <c r="D156" t="s">
        <v>87</v>
      </c>
      <c r="F156" s="3">
        <v>44186</v>
      </c>
      <c r="G156">
        <v>1</v>
      </c>
      <c r="H156" t="s">
        <v>12</v>
      </c>
      <c r="I156" t="s">
        <v>18</v>
      </c>
    </row>
    <row r="157" spans="1:9" x14ac:dyDescent="0.25">
      <c r="A157" t="s">
        <v>341</v>
      </c>
      <c r="B157" t="s">
        <v>342</v>
      </c>
      <c r="C157" t="s">
        <v>16</v>
      </c>
      <c r="D157" t="s">
        <v>31</v>
      </c>
      <c r="E157" s="4">
        <v>88425.08</v>
      </c>
      <c r="F157" s="3">
        <v>43662</v>
      </c>
      <c r="G157">
        <v>1</v>
      </c>
      <c r="H157" t="s">
        <v>12</v>
      </c>
      <c r="I157" t="s">
        <v>28</v>
      </c>
    </row>
    <row r="158" spans="1:9" x14ac:dyDescent="0.25">
      <c r="A158" t="s">
        <v>343</v>
      </c>
      <c r="B158" t="s">
        <v>344</v>
      </c>
      <c r="C158" t="s">
        <v>11</v>
      </c>
      <c r="D158" t="s">
        <v>74</v>
      </c>
      <c r="E158" s="4">
        <v>96753.78</v>
      </c>
      <c r="F158" s="3">
        <v>44494</v>
      </c>
      <c r="G158">
        <v>1</v>
      </c>
      <c r="H158" t="s">
        <v>12</v>
      </c>
      <c r="I158" t="s">
        <v>54</v>
      </c>
    </row>
    <row r="159" spans="1:9" x14ac:dyDescent="0.25">
      <c r="A159" t="s">
        <v>345</v>
      </c>
      <c r="B159" t="s">
        <v>346</v>
      </c>
      <c r="C159" t="s">
        <v>16</v>
      </c>
      <c r="D159" t="s">
        <v>35</v>
      </c>
      <c r="E159" s="4">
        <v>28974.03</v>
      </c>
      <c r="F159" s="3">
        <v>43733</v>
      </c>
      <c r="G159">
        <v>1</v>
      </c>
      <c r="H159" t="s">
        <v>12</v>
      </c>
      <c r="I159" t="s">
        <v>54</v>
      </c>
    </row>
    <row r="160" spans="1:9" x14ac:dyDescent="0.25">
      <c r="A160" t="s">
        <v>347</v>
      </c>
      <c r="B160" t="s">
        <v>348</v>
      </c>
      <c r="C160" t="s">
        <v>16</v>
      </c>
      <c r="D160" t="s">
        <v>17</v>
      </c>
      <c r="E160" s="4">
        <v>86233.83</v>
      </c>
      <c r="F160" s="3">
        <v>43706</v>
      </c>
      <c r="G160">
        <v>1</v>
      </c>
      <c r="H160" t="s">
        <v>25</v>
      </c>
      <c r="I160" t="s">
        <v>59</v>
      </c>
    </row>
    <row r="161" spans="1:9" x14ac:dyDescent="0.25">
      <c r="A161" t="s">
        <v>349</v>
      </c>
      <c r="B161" t="s">
        <v>350</v>
      </c>
      <c r="C161" t="s">
        <v>11</v>
      </c>
      <c r="D161" t="s">
        <v>71</v>
      </c>
      <c r="E161" s="4">
        <v>119022.49</v>
      </c>
      <c r="F161" s="3">
        <v>44431</v>
      </c>
      <c r="G161">
        <v>1</v>
      </c>
      <c r="H161" t="s">
        <v>12</v>
      </c>
      <c r="I161" t="s">
        <v>54</v>
      </c>
    </row>
    <row r="162" spans="1:9" x14ac:dyDescent="0.25">
      <c r="A162" t="s">
        <v>351</v>
      </c>
      <c r="B162" t="s">
        <v>352</v>
      </c>
      <c r="C162" t="s">
        <v>16</v>
      </c>
      <c r="D162" t="s">
        <v>71</v>
      </c>
      <c r="E162" s="4">
        <v>114177.23</v>
      </c>
      <c r="F162" s="3">
        <v>43908</v>
      </c>
      <c r="G162">
        <v>1</v>
      </c>
      <c r="H162" t="s">
        <v>12</v>
      </c>
      <c r="I162" t="s">
        <v>32</v>
      </c>
    </row>
    <row r="163" spans="1:9" x14ac:dyDescent="0.25">
      <c r="A163" t="s">
        <v>353</v>
      </c>
      <c r="B163" t="s">
        <v>354</v>
      </c>
      <c r="C163" t="s">
        <v>16</v>
      </c>
      <c r="D163" t="s">
        <v>68</v>
      </c>
      <c r="E163" s="4">
        <v>100731.95</v>
      </c>
      <c r="F163" s="3">
        <v>43936</v>
      </c>
      <c r="G163">
        <v>1</v>
      </c>
      <c r="H163" t="s">
        <v>12</v>
      </c>
      <c r="I163" t="s">
        <v>54</v>
      </c>
    </row>
    <row r="164" spans="1:9" x14ac:dyDescent="0.25">
      <c r="A164" t="s">
        <v>355</v>
      </c>
      <c r="B164" t="s">
        <v>356</v>
      </c>
      <c r="C164" t="s">
        <v>16</v>
      </c>
      <c r="D164" t="s">
        <v>24</v>
      </c>
      <c r="E164" s="4">
        <v>86010.54</v>
      </c>
      <c r="F164" s="3">
        <v>43164</v>
      </c>
      <c r="G164">
        <v>1</v>
      </c>
      <c r="H164" t="s">
        <v>12</v>
      </c>
      <c r="I164" t="s">
        <v>59</v>
      </c>
    </row>
    <row r="165" spans="1:9" x14ac:dyDescent="0.25">
      <c r="A165" t="s">
        <v>357</v>
      </c>
      <c r="B165" t="s">
        <v>358</v>
      </c>
      <c r="C165" t="s">
        <v>11</v>
      </c>
      <c r="D165" t="s">
        <v>71</v>
      </c>
      <c r="E165" s="4">
        <v>52270.22</v>
      </c>
      <c r="F165" s="3">
        <v>43521</v>
      </c>
      <c r="G165">
        <v>0.3</v>
      </c>
      <c r="H165" t="s">
        <v>12</v>
      </c>
      <c r="I165" t="s">
        <v>59</v>
      </c>
    </row>
    <row r="166" spans="1:9" x14ac:dyDescent="0.25">
      <c r="A166" t="s">
        <v>359</v>
      </c>
      <c r="B166" t="s">
        <v>360</v>
      </c>
      <c r="C166" t="s">
        <v>11</v>
      </c>
      <c r="D166" t="s">
        <v>31</v>
      </c>
      <c r="E166" s="4">
        <v>61624.77</v>
      </c>
      <c r="F166" s="3">
        <v>43430</v>
      </c>
      <c r="G166">
        <v>0.3</v>
      </c>
      <c r="H166" t="s">
        <v>25</v>
      </c>
      <c r="I166" t="s">
        <v>28</v>
      </c>
    </row>
    <row r="167" spans="1:9" x14ac:dyDescent="0.25">
      <c r="A167" t="s">
        <v>361</v>
      </c>
      <c r="B167" t="s">
        <v>362</v>
      </c>
      <c r="C167" t="s">
        <v>16</v>
      </c>
      <c r="D167" t="s">
        <v>38</v>
      </c>
      <c r="E167" s="4">
        <v>104903.79</v>
      </c>
      <c r="F167" s="3">
        <v>43649</v>
      </c>
      <c r="G167">
        <v>1</v>
      </c>
      <c r="H167" t="s">
        <v>12</v>
      </c>
      <c r="I167" t="s">
        <v>59</v>
      </c>
    </row>
    <row r="168" spans="1:9" x14ac:dyDescent="0.25">
      <c r="A168" t="s">
        <v>363</v>
      </c>
      <c r="B168" t="s">
        <v>364</v>
      </c>
      <c r="C168" t="s">
        <v>11</v>
      </c>
      <c r="D168" t="s">
        <v>41</v>
      </c>
      <c r="E168" s="4">
        <v>28160.79</v>
      </c>
      <c r="F168" s="3">
        <v>43129</v>
      </c>
      <c r="G168">
        <v>1</v>
      </c>
      <c r="H168" t="s">
        <v>53</v>
      </c>
      <c r="I168" t="s">
        <v>13</v>
      </c>
    </row>
    <row r="169" spans="1:9" x14ac:dyDescent="0.25">
      <c r="A169" t="s">
        <v>365</v>
      </c>
      <c r="B169" t="s">
        <v>366</v>
      </c>
      <c r="C169" t="s">
        <v>11</v>
      </c>
      <c r="D169" t="s">
        <v>21</v>
      </c>
      <c r="E169" s="4">
        <v>109143.17</v>
      </c>
      <c r="F169" s="3">
        <v>43945</v>
      </c>
      <c r="G169">
        <v>1</v>
      </c>
      <c r="H169" t="s">
        <v>12</v>
      </c>
      <c r="I169" t="s">
        <v>32</v>
      </c>
    </row>
    <row r="170" spans="1:9" x14ac:dyDescent="0.25">
      <c r="A170" t="s">
        <v>367</v>
      </c>
      <c r="B170" t="s">
        <v>368</v>
      </c>
      <c r="C170" t="s">
        <v>16</v>
      </c>
      <c r="D170" t="s">
        <v>38</v>
      </c>
      <c r="E170" s="4">
        <v>70755.5</v>
      </c>
      <c r="F170" s="3">
        <v>44090</v>
      </c>
      <c r="G170">
        <v>0.8</v>
      </c>
      <c r="H170" t="s">
        <v>53</v>
      </c>
      <c r="I170" t="s">
        <v>28</v>
      </c>
    </row>
    <row r="171" spans="1:9" x14ac:dyDescent="0.25">
      <c r="A171" t="s">
        <v>369</v>
      </c>
      <c r="B171" t="s">
        <v>370</v>
      </c>
      <c r="C171" t="s">
        <v>16</v>
      </c>
      <c r="D171" t="s">
        <v>21</v>
      </c>
      <c r="E171" s="4">
        <v>58861.19</v>
      </c>
      <c r="F171" s="3">
        <v>43654</v>
      </c>
      <c r="G171">
        <v>1</v>
      </c>
      <c r="H171" t="s">
        <v>12</v>
      </c>
      <c r="I171" t="s">
        <v>50</v>
      </c>
    </row>
    <row r="172" spans="1:9" x14ac:dyDescent="0.25">
      <c r="A172" t="s">
        <v>371</v>
      </c>
      <c r="B172" t="s">
        <v>372</v>
      </c>
      <c r="C172" t="s">
        <v>16</v>
      </c>
      <c r="D172" t="s">
        <v>24</v>
      </c>
      <c r="E172" s="4">
        <v>58744.17</v>
      </c>
      <c r="F172" s="3">
        <v>43171</v>
      </c>
      <c r="G172">
        <v>1</v>
      </c>
      <c r="H172" t="s">
        <v>53</v>
      </c>
      <c r="I172" t="s">
        <v>50</v>
      </c>
    </row>
    <row r="173" spans="1:9" x14ac:dyDescent="0.25">
      <c r="A173" t="s">
        <v>373</v>
      </c>
      <c r="B173" t="s">
        <v>374</v>
      </c>
      <c r="C173" t="s">
        <v>16</v>
      </c>
      <c r="D173" t="s">
        <v>68</v>
      </c>
      <c r="E173" s="4">
        <v>73488.679999999993</v>
      </c>
      <c r="F173" s="3">
        <v>43570</v>
      </c>
      <c r="G173">
        <v>1</v>
      </c>
      <c r="H173" t="s">
        <v>25</v>
      </c>
      <c r="I173" t="s">
        <v>18</v>
      </c>
    </row>
    <row r="174" spans="1:9" x14ac:dyDescent="0.25">
      <c r="A174" t="s">
        <v>375</v>
      </c>
      <c r="B174" t="s">
        <v>376</v>
      </c>
      <c r="C174" t="s">
        <v>16</v>
      </c>
      <c r="D174" t="s">
        <v>68</v>
      </c>
      <c r="E174" s="4">
        <v>92704.48</v>
      </c>
      <c r="F174" s="3">
        <v>43430</v>
      </c>
      <c r="G174">
        <v>1</v>
      </c>
      <c r="H174" t="s">
        <v>25</v>
      </c>
      <c r="I174" t="s">
        <v>50</v>
      </c>
    </row>
    <row r="175" spans="1:9" x14ac:dyDescent="0.25">
      <c r="A175" t="s">
        <v>377</v>
      </c>
      <c r="B175" t="s">
        <v>378</v>
      </c>
      <c r="C175" t="s">
        <v>11</v>
      </c>
      <c r="D175" t="s">
        <v>31</v>
      </c>
      <c r="E175" s="4">
        <v>78443.78</v>
      </c>
      <c r="F175" s="3">
        <v>43599</v>
      </c>
      <c r="G175">
        <v>1</v>
      </c>
      <c r="H175" t="s">
        <v>25</v>
      </c>
      <c r="I175" t="s">
        <v>28</v>
      </c>
    </row>
    <row r="176" spans="1:9" x14ac:dyDescent="0.25">
      <c r="A176" t="s">
        <v>379</v>
      </c>
      <c r="B176" t="s">
        <v>380</v>
      </c>
      <c r="C176" t="s">
        <v>16</v>
      </c>
      <c r="D176" t="s">
        <v>31</v>
      </c>
      <c r="E176" s="4">
        <v>97105.19</v>
      </c>
      <c r="F176" s="3">
        <v>44425</v>
      </c>
      <c r="G176">
        <v>1</v>
      </c>
      <c r="H176" t="s">
        <v>12</v>
      </c>
      <c r="I176" t="s">
        <v>50</v>
      </c>
    </row>
    <row r="177" spans="1:9" x14ac:dyDescent="0.25">
      <c r="A177" t="s">
        <v>381</v>
      </c>
      <c r="B177" t="s">
        <v>382</v>
      </c>
      <c r="C177" t="s">
        <v>16</v>
      </c>
      <c r="D177" t="s">
        <v>21</v>
      </c>
      <c r="E177" s="4">
        <v>109163.39</v>
      </c>
      <c r="F177" s="3">
        <v>44019</v>
      </c>
      <c r="G177">
        <v>0.8</v>
      </c>
      <c r="H177" t="s">
        <v>12</v>
      </c>
      <c r="I177" t="s">
        <v>18</v>
      </c>
    </row>
    <row r="178" spans="1:9" x14ac:dyDescent="0.25">
      <c r="A178" t="s">
        <v>383</v>
      </c>
      <c r="B178" t="s">
        <v>384</v>
      </c>
      <c r="C178" t="s">
        <v>11</v>
      </c>
      <c r="D178" t="s">
        <v>38</v>
      </c>
      <c r="E178" s="4">
        <v>31816.57</v>
      </c>
      <c r="F178" s="3">
        <v>43497</v>
      </c>
      <c r="G178">
        <v>0.3</v>
      </c>
      <c r="H178" t="s">
        <v>25</v>
      </c>
      <c r="I178" t="s">
        <v>13</v>
      </c>
    </row>
    <row r="179" spans="1:9" x14ac:dyDescent="0.25">
      <c r="A179" t="s">
        <v>385</v>
      </c>
      <c r="B179" t="s">
        <v>386</v>
      </c>
      <c r="C179" t="s">
        <v>16</v>
      </c>
      <c r="D179" t="s">
        <v>21</v>
      </c>
      <c r="E179" s="4">
        <v>118442.54</v>
      </c>
      <c r="F179" s="3">
        <v>44193</v>
      </c>
      <c r="G179">
        <v>1</v>
      </c>
      <c r="H179" t="s">
        <v>12</v>
      </c>
      <c r="I179" t="s">
        <v>54</v>
      </c>
    </row>
    <row r="180" spans="1:9" x14ac:dyDescent="0.25">
      <c r="A180" t="s">
        <v>387</v>
      </c>
      <c r="B180" t="s">
        <v>388</v>
      </c>
      <c r="C180" t="s">
        <v>16</v>
      </c>
      <c r="D180" t="s">
        <v>24</v>
      </c>
      <c r="E180" s="4">
        <v>84745.93</v>
      </c>
      <c r="F180" s="3">
        <v>43707</v>
      </c>
      <c r="G180">
        <v>1</v>
      </c>
      <c r="H180" t="s">
        <v>12</v>
      </c>
      <c r="I180" t="s">
        <v>32</v>
      </c>
    </row>
    <row r="181" spans="1:9" x14ac:dyDescent="0.25">
      <c r="E181"/>
      <c r="F181"/>
    </row>
    <row r="182" spans="1:9" x14ac:dyDescent="0.25">
      <c r="E182"/>
      <c r="F182"/>
    </row>
    <row r="183" spans="1:9" x14ac:dyDescent="0.25">
      <c r="E183"/>
      <c r="F183"/>
    </row>
    <row r="184" spans="1:9" x14ac:dyDescent="0.25">
      <c r="E184"/>
      <c r="F184"/>
    </row>
    <row r="185" spans="1:9" x14ac:dyDescent="0.25">
      <c r="E185"/>
      <c r="F185"/>
    </row>
    <row r="186" spans="1:9" x14ac:dyDescent="0.25">
      <c r="E186"/>
      <c r="F186"/>
    </row>
    <row r="187" spans="1:9" x14ac:dyDescent="0.25">
      <c r="E187"/>
      <c r="F187"/>
    </row>
    <row r="188" spans="1:9" x14ac:dyDescent="0.25">
      <c r="E188"/>
      <c r="F188"/>
    </row>
    <row r="189" spans="1:9" x14ac:dyDescent="0.25">
      <c r="E189"/>
      <c r="F189"/>
    </row>
    <row r="190" spans="1:9" x14ac:dyDescent="0.25">
      <c r="E190"/>
      <c r="F190"/>
    </row>
    <row r="191" spans="1:9" x14ac:dyDescent="0.25">
      <c r="E191"/>
      <c r="F191"/>
    </row>
    <row r="192" spans="1:9" x14ac:dyDescent="0.25">
      <c r="E192"/>
      <c r="F192"/>
    </row>
    <row r="193" spans="5:6" x14ac:dyDescent="0.25">
      <c r="E193"/>
      <c r="F193"/>
    </row>
    <row r="194" spans="5:6" x14ac:dyDescent="0.25">
      <c r="E194"/>
      <c r="F194"/>
    </row>
    <row r="195" spans="5:6" x14ac:dyDescent="0.25">
      <c r="E195"/>
      <c r="F195"/>
    </row>
    <row r="196" spans="5:6" x14ac:dyDescent="0.25">
      <c r="E196"/>
      <c r="F196"/>
    </row>
    <row r="197" spans="5:6" x14ac:dyDescent="0.25">
      <c r="E197"/>
      <c r="F197"/>
    </row>
  </sheetData>
  <mergeCells count="1">
    <mergeCell ref="K12:L1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BD15-2AF2-4026-8C84-7F3C4E15112A}">
  <dimension ref="A1"/>
  <sheetViews>
    <sheetView zoomScaleNormal="100" workbookViewId="0">
      <selection sqref="A1:A19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D56E3E-86BD-46E1-9EBB-23C886CDF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MUNAGALA SURESH REDDY</cp:lastModifiedBy>
  <dcterms:created xsi:type="dcterms:W3CDTF">2022-07-14T09:17:22Z</dcterms:created>
  <dcterms:modified xsi:type="dcterms:W3CDTF">2025-08-13T14:25:42Z</dcterms:modified>
</cp:coreProperties>
</file>