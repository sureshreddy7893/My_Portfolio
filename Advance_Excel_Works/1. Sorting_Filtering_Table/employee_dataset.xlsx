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_Portfolio\Advance_Excel_Works\Sorting_Filtering_Table\"/>
    </mc:Choice>
  </mc:AlternateContent>
  <xr:revisionPtr revIDLastSave="0" documentId="13_ncr:1_{AFBA1CB0-E0C5-447E-BC74-45F0083C235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Employee_Data" sheetId="1" r:id="rId1"/>
    <sheet name="Applying_Table" sheetId="2" r:id="rId2"/>
  </sheets>
  <definedNames>
    <definedName name="_xlnm._FilterDatabase" localSheetId="0" hidden="1">Employee_Data!$A$1:$H$101</definedName>
  </definedNames>
  <calcPr calcId="191029"/>
</workbook>
</file>

<file path=xl/calcChain.xml><?xml version="1.0" encoding="utf-8"?>
<calcChain xmlns="http://schemas.openxmlformats.org/spreadsheetml/2006/main">
  <c r="P4" i="1" l="1"/>
  <c r="P3" i="1"/>
  <c r="Q6" i="1"/>
  <c r="Q7" i="1"/>
  <c r="Q8" i="1"/>
  <c r="Q9" i="1"/>
  <c r="Q10" i="1"/>
  <c r="Q11" i="1"/>
</calcChain>
</file>

<file path=xl/sharedStrings.xml><?xml version="1.0" encoding="utf-8"?>
<sst xmlns="http://schemas.openxmlformats.org/spreadsheetml/2006/main" count="833" uniqueCount="221">
  <si>
    <t>EmployeeID</t>
  </si>
  <si>
    <t>Name</t>
  </si>
  <si>
    <t>Department</t>
  </si>
  <si>
    <t>Age</t>
  </si>
  <si>
    <t>Salary</t>
  </si>
  <si>
    <t>JoiningDate</t>
  </si>
  <si>
    <t>Location</t>
  </si>
  <si>
    <t>PerformanceRating</t>
  </si>
  <si>
    <t>Amit Sharma</t>
  </si>
  <si>
    <t>Sunita Agarwal</t>
  </si>
  <si>
    <t>Meena Thakur</t>
  </si>
  <si>
    <t>Manoj Bansal</t>
  </si>
  <si>
    <t>Vikas Kapoor</t>
  </si>
  <si>
    <t>Vivek Yadav</t>
  </si>
  <si>
    <t>Ravi Patel</t>
  </si>
  <si>
    <t>Deepa Patel</t>
  </si>
  <si>
    <t>Vivek Das</t>
  </si>
  <si>
    <t>Pooja Nair</t>
  </si>
  <si>
    <t>Priya Singh</t>
  </si>
  <si>
    <t>Shreya Joshi</t>
  </si>
  <si>
    <t>Neha Kumar</t>
  </si>
  <si>
    <t>Deepa Thakur</t>
  </si>
  <si>
    <t>Ravi Mehta</t>
  </si>
  <si>
    <t>Sneha Gupta</t>
  </si>
  <si>
    <t>Suresh Thakur</t>
  </si>
  <si>
    <t>Ravi Das</t>
  </si>
  <si>
    <t>Vivek Singh</t>
  </si>
  <si>
    <t>Amit Das</t>
  </si>
  <si>
    <t>Sunita Verma</t>
  </si>
  <si>
    <t>Alok Reddy</t>
  </si>
  <si>
    <t>Manoj Reddy</t>
  </si>
  <si>
    <t>Rahul Gupta</t>
  </si>
  <si>
    <t>Neha Mehta</t>
  </si>
  <si>
    <t>Amit Verma</t>
  </si>
  <si>
    <t>Pooja Verma</t>
  </si>
  <si>
    <t>Vivek Rana</t>
  </si>
  <si>
    <t>Kiran Verma</t>
  </si>
  <si>
    <t>Suresh Patel</t>
  </si>
  <si>
    <t>Arjun Agarwal</t>
  </si>
  <si>
    <t>Deepa Reddy</t>
  </si>
  <si>
    <t>Kiran Patel</t>
  </si>
  <si>
    <t>Neha Chopra</t>
  </si>
  <si>
    <t>Nitin Saxena</t>
  </si>
  <si>
    <t>Deepa Saxena</t>
  </si>
  <si>
    <t>Rahul Sharma</t>
  </si>
  <si>
    <t>Anita Gupta</t>
  </si>
  <si>
    <t>Rahul Yadav</t>
  </si>
  <si>
    <t>Vivek Mehta</t>
  </si>
  <si>
    <t>Kiran Mehta</t>
  </si>
  <si>
    <t>Alok Das</t>
  </si>
  <si>
    <t>Kiran Nair</t>
  </si>
  <si>
    <t>Kiran Sharma</t>
  </si>
  <si>
    <t>Anita Saxena</t>
  </si>
  <si>
    <t>Amit Yadav</t>
  </si>
  <si>
    <t>Meena Mehta</t>
  </si>
  <si>
    <t>Anita Yadav</t>
  </si>
  <si>
    <t>Priya Reddy</t>
  </si>
  <si>
    <t>Nitin Bansal</t>
  </si>
  <si>
    <t>Alok Kapoor</t>
  </si>
  <si>
    <t>Alok Joshi</t>
  </si>
  <si>
    <t>Sneha Pandey</t>
  </si>
  <si>
    <t>Vivek Kapoor</t>
  </si>
  <si>
    <t>Priya Kumar</t>
  </si>
  <si>
    <t>Arjun Nair</t>
  </si>
  <si>
    <t>Sunita Singh</t>
  </si>
  <si>
    <t>Vivek Pandey</t>
  </si>
  <si>
    <t>Anita Agarwal</t>
  </si>
  <si>
    <t>Manoj Thakur</t>
  </si>
  <si>
    <t>Pooja Kumar</t>
  </si>
  <si>
    <t>Sunita Mehta</t>
  </si>
  <si>
    <t>Kiran Joshi</t>
  </si>
  <si>
    <t>Vikas Das</t>
  </si>
  <si>
    <t>Anita Kapoor</t>
  </si>
  <si>
    <t>Deepa Chopra</t>
  </si>
  <si>
    <t>Ravi Agarwal</t>
  </si>
  <si>
    <t>Arjun Gupta</t>
  </si>
  <si>
    <t>Rahul Chopra</t>
  </si>
  <si>
    <t>Manoj Rana</t>
  </si>
  <si>
    <t>Deepa Kapoor</t>
  </si>
  <si>
    <t>Sunita Nair</t>
  </si>
  <si>
    <t>Alok Bansal</t>
  </si>
  <si>
    <t>Alok Rana</t>
  </si>
  <si>
    <t>Shreya Chopra</t>
  </si>
  <si>
    <t>Deepa Yadav</t>
  </si>
  <si>
    <t>Suresh Reddy</t>
  </si>
  <si>
    <t>Meena Yadav</t>
  </si>
  <si>
    <t>Rahul Thakur</t>
  </si>
  <si>
    <t>Alok Patel</t>
  </si>
  <si>
    <t>Shreya Mehta</t>
  </si>
  <si>
    <t>Sunita Kumar</t>
  </si>
  <si>
    <t>Alok Yadav</t>
  </si>
  <si>
    <t>Deepa Agarwal</t>
  </si>
  <si>
    <t>Neha Patel</t>
  </si>
  <si>
    <t>Priya Yadav</t>
  </si>
  <si>
    <t>Suresh Bansal</t>
  </si>
  <si>
    <t>Deepa Bansal</t>
  </si>
  <si>
    <t>Sneha Chopra</t>
  </si>
  <si>
    <t>Ravi Pandey</t>
  </si>
  <si>
    <t>Ravi Thakur</t>
  </si>
  <si>
    <t>Operations</t>
  </si>
  <si>
    <t>Sales</t>
  </si>
  <si>
    <t>IT</t>
  </si>
  <si>
    <t>Finance</t>
  </si>
  <si>
    <t>Marketing</t>
  </si>
  <si>
    <t>HR</t>
  </si>
  <si>
    <t>2017-07-03</t>
  </si>
  <si>
    <t>2016-01-19</t>
  </si>
  <si>
    <t>2021-08-10</t>
  </si>
  <si>
    <t>2023-07-25</t>
  </si>
  <si>
    <t>2020-02-25</t>
  </si>
  <si>
    <t>2017-02-26</t>
  </si>
  <si>
    <t>2018-02-12</t>
  </si>
  <si>
    <t>2023-03-06</t>
  </si>
  <si>
    <t>2023-08-14</t>
  </si>
  <si>
    <t>2021-05-12</t>
  </si>
  <si>
    <t>2023-05-10</t>
  </si>
  <si>
    <t>2020-09-18</t>
  </si>
  <si>
    <t>2015-09-18</t>
  </si>
  <si>
    <t>2024-12-03</t>
  </si>
  <si>
    <t>2023-02-05</t>
  </si>
  <si>
    <t>2022-03-02</t>
  </si>
  <si>
    <t>2018-08-20</t>
  </si>
  <si>
    <t>2016-11-07</t>
  </si>
  <si>
    <t>2018-06-30</t>
  </si>
  <si>
    <t>2015-03-28</t>
  </si>
  <si>
    <t>2015-05-09</t>
  </si>
  <si>
    <t>2024-11-23</t>
  </si>
  <si>
    <t>2019-11-01</t>
  </si>
  <si>
    <t>2018-10-21</t>
  </si>
  <si>
    <t>2017-10-20</t>
  </si>
  <si>
    <t>2023-06-14</t>
  </si>
  <si>
    <t>2019-05-19</t>
  </si>
  <si>
    <t>2017-06-10</t>
  </si>
  <si>
    <t>2024-07-24</t>
  </si>
  <si>
    <t>2024-08-31</t>
  </si>
  <si>
    <t>2015-12-02</t>
  </si>
  <si>
    <t>2017-12-23</t>
  </si>
  <si>
    <t>2021-04-25</t>
  </si>
  <si>
    <t>2018-03-13</t>
  </si>
  <si>
    <t>2016-02-29</t>
  </si>
  <si>
    <t>2017-05-12</t>
  </si>
  <si>
    <t>2024-06-27</t>
  </si>
  <si>
    <t>2017-12-08</t>
  </si>
  <si>
    <t>2015-05-28</t>
  </si>
  <si>
    <t>2019-01-05</t>
  </si>
  <si>
    <t>2024-09-11</t>
  </si>
  <si>
    <t>2016-10-14</t>
  </si>
  <si>
    <t>2018-06-04</t>
  </si>
  <si>
    <t>2022-03-12</t>
  </si>
  <si>
    <t>2021-07-06</t>
  </si>
  <si>
    <t>2019-04-27</t>
  </si>
  <si>
    <t>2019-11-02</t>
  </si>
  <si>
    <t>2019-07-31</t>
  </si>
  <si>
    <t>2023-05-23</t>
  </si>
  <si>
    <t>2023-10-24</t>
  </si>
  <si>
    <t>2023-12-05</t>
  </si>
  <si>
    <t>2018-06-25</t>
  </si>
  <si>
    <t>2024-12-08</t>
  </si>
  <si>
    <t>2022-09-17</t>
  </si>
  <si>
    <t>2016-05-12</t>
  </si>
  <si>
    <t>2024-02-21</t>
  </si>
  <si>
    <t>2017-11-27</t>
  </si>
  <si>
    <t>2018-03-16</t>
  </si>
  <si>
    <t>2022-10-13</t>
  </si>
  <si>
    <t>2024-05-04</t>
  </si>
  <si>
    <t>2018-12-11</t>
  </si>
  <si>
    <t>2017-06-17</t>
  </si>
  <si>
    <t>2020-12-27</t>
  </si>
  <si>
    <t>2015-07-25</t>
  </si>
  <si>
    <t>2024-05-12</t>
  </si>
  <si>
    <t>2022-04-23</t>
  </si>
  <si>
    <t>2020-04-23</t>
  </si>
  <si>
    <t>2024-03-09</t>
  </si>
  <si>
    <t>2023-01-07</t>
  </si>
  <si>
    <t>2022-09-03</t>
  </si>
  <si>
    <t>2019-02-26</t>
  </si>
  <si>
    <t>2022-02-16</t>
  </si>
  <si>
    <t>2019-11-20</t>
  </si>
  <si>
    <t>2020-03-18</t>
  </si>
  <si>
    <t>2018-12-24</t>
  </si>
  <si>
    <t>2015-12-17</t>
  </si>
  <si>
    <t>2018-04-20</t>
  </si>
  <si>
    <t>2019-10-09</t>
  </si>
  <si>
    <t>2023-02-02</t>
  </si>
  <si>
    <t>2023-02-15</t>
  </si>
  <si>
    <t>2018-05-23</t>
  </si>
  <si>
    <t>2024-09-27</t>
  </si>
  <si>
    <t>2015-07-30</t>
  </si>
  <si>
    <t>2016-09-03</t>
  </si>
  <si>
    <t>2020-11-10</t>
  </si>
  <si>
    <t>2023-04-20</t>
  </si>
  <si>
    <t>2015-11-04</t>
  </si>
  <si>
    <t>2022-12-05</t>
  </si>
  <si>
    <t>2016-04-15</t>
  </si>
  <si>
    <t>2018-06-13</t>
  </si>
  <si>
    <t>2020-08-11</t>
  </si>
  <si>
    <t>2016-01-10</t>
  </si>
  <si>
    <t>2020-10-26</t>
  </si>
  <si>
    <t>2020-04-09</t>
  </si>
  <si>
    <t>2022-06-06</t>
  </si>
  <si>
    <t>2020-10-08</t>
  </si>
  <si>
    <t>2019-12-16</t>
  </si>
  <si>
    <t>2015-04-29</t>
  </si>
  <si>
    <t>2017-07-09</t>
  </si>
  <si>
    <t>Delhi</t>
  </si>
  <si>
    <t>Bangalore</t>
  </si>
  <si>
    <t>Chennai</t>
  </si>
  <si>
    <t>Pune</t>
  </si>
  <si>
    <t>Hyderabad</t>
  </si>
  <si>
    <t>Mumbai</t>
  </si>
  <si>
    <t>1. Which employee has highest salary?</t>
  </si>
  <si>
    <t>2. Which employee has lowest salary?</t>
  </si>
  <si>
    <t>3. Total salaries based on department.</t>
  </si>
  <si>
    <t>Use sorting to find highest and lowest salary</t>
  </si>
  <si>
    <t>Horizontal sorting</t>
  </si>
  <si>
    <t>ctrl+shift+L</t>
  </si>
  <si>
    <t>Filtering shortcut</t>
  </si>
  <si>
    <t>1. Automatic filters</t>
  </si>
  <si>
    <t>2. Theme will be applied for the table</t>
  </si>
  <si>
    <t>3. Calculations will be simple</t>
  </si>
  <si>
    <t>4. Table style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</si>
</sst>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/>
    <xf numFmtId="168" fontId="0" fillId="0" borderId="0" xfId="0" applyNumberFormat="1" applyBorder="1"/>
    <xf numFmtId="0" fontId="1" fillId="0" borderId="2" xfId="0" applyFont="1" applyBorder="1" applyAlignment="1">
      <alignment horizontal="center" vertical="top"/>
    </xf>
    <xf numFmtId="168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&quot;₹&quot;\ 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2AA54-7236-4101-8D24-0EE5F8732B99}" name="Table1" displayName="Table1" ref="A1:H101" totalsRowShown="0" headerRowDxfId="0" headerRowBorderDxfId="2" tableBorderDxfId="3">
  <autoFilter ref="A1:H101" xr:uid="{E3E2AA54-7236-4101-8D24-0EE5F8732B99}"/>
  <tableColumns count="8">
    <tableColumn id="1" xr3:uid="{498C5A3C-12D5-44A6-BB6A-F7649C030B55}" name="EmployeeID"/>
    <tableColumn id="2" xr3:uid="{17AF310F-2E15-4E92-91B0-46134DF73846}" name="Name"/>
    <tableColumn id="3" xr3:uid="{C96A47DB-E465-48A0-A8AE-FF3D2730DC2F}" name="Department"/>
    <tableColumn id="4" xr3:uid="{7B85C008-0721-40A2-B73A-37A77417319D}" name="Age"/>
    <tableColumn id="5" xr3:uid="{E7817C86-0ED7-433C-98B0-0B0E21CACBB5}" name="Salary" dataDxfId="1"/>
    <tableColumn id="6" xr3:uid="{C300E629-4534-4D3A-9771-7166657AE1C4}" name="JoiningDate"/>
    <tableColumn id="7" xr3:uid="{A2E88FD4-1F17-46A1-AE0F-3F80C0726F90}" name="Location"/>
    <tableColumn id="8" xr3:uid="{B0A109E4-BE4A-42FE-AB36-75E55277FE24}" name="PerformanceRating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zoomScale="85" zoomScaleNormal="85" workbookViewId="0">
      <selection activeCell="F22" sqref="F22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11.7109375" bestFit="1" customWidth="1"/>
    <col min="4" max="4" width="4.42578125" bestFit="1" customWidth="1"/>
    <col min="5" max="5" width="11.7109375" style="3" bestFit="1" customWidth="1"/>
    <col min="6" max="6" width="11.42578125" bestFit="1" customWidth="1"/>
    <col min="7" max="7" width="10.5703125" bestFit="1" customWidth="1"/>
    <col min="8" max="8" width="18.28515625" bestFit="1" customWidth="1"/>
    <col min="16" max="16" width="12.28515625" bestFit="1" customWidth="1"/>
    <col min="17" max="17" width="10.7109375" bestFit="1" customWidth="1"/>
    <col min="18" max="18" width="13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22" x14ac:dyDescent="0.25">
      <c r="A2" s="7">
        <v>1028</v>
      </c>
      <c r="B2" s="7" t="s">
        <v>34</v>
      </c>
      <c r="C2" s="7" t="s">
        <v>102</v>
      </c>
      <c r="D2" s="7">
        <v>46</v>
      </c>
      <c r="E2" s="8">
        <v>30141</v>
      </c>
      <c r="F2" s="7" t="s">
        <v>124</v>
      </c>
      <c r="G2" s="7" t="s">
        <v>205</v>
      </c>
      <c r="H2" s="7">
        <v>4</v>
      </c>
    </row>
    <row r="3" spans="1:22" x14ac:dyDescent="0.25">
      <c r="A3">
        <v>1015</v>
      </c>
      <c r="B3" t="s">
        <v>22</v>
      </c>
      <c r="C3" t="s">
        <v>102</v>
      </c>
      <c r="D3">
        <v>51</v>
      </c>
      <c r="E3" s="3">
        <v>30212</v>
      </c>
      <c r="F3" t="s">
        <v>202</v>
      </c>
      <c r="G3" t="s">
        <v>207</v>
      </c>
      <c r="H3">
        <v>3</v>
      </c>
      <c r="J3" s="5" t="s">
        <v>210</v>
      </c>
      <c r="K3" s="5"/>
      <c r="L3" s="5"/>
      <c r="M3" s="5"/>
      <c r="N3" s="5"/>
      <c r="O3" s="5"/>
      <c r="P3" s="5" t="str">
        <f>INDEX(B2:B101,MATCH(MAX(E2:E101),E2:E101,0))</f>
        <v>Pooja Nair</v>
      </c>
      <c r="Q3" s="5"/>
      <c r="R3" s="5" t="s">
        <v>213</v>
      </c>
      <c r="S3" s="5"/>
      <c r="T3" s="5"/>
      <c r="U3" s="5"/>
      <c r="V3" s="5"/>
    </row>
    <row r="4" spans="1:22" x14ac:dyDescent="0.25">
      <c r="A4">
        <v>1062</v>
      </c>
      <c r="B4" t="s">
        <v>66</v>
      </c>
      <c r="C4" t="s">
        <v>100</v>
      </c>
      <c r="D4">
        <v>52</v>
      </c>
      <c r="E4" s="3">
        <v>30386</v>
      </c>
      <c r="F4" t="s">
        <v>125</v>
      </c>
      <c r="G4" t="s">
        <v>205</v>
      </c>
      <c r="H4">
        <v>4</v>
      </c>
      <c r="J4" s="5" t="s">
        <v>211</v>
      </c>
      <c r="K4" s="5"/>
      <c r="L4" s="5"/>
      <c r="M4" s="5"/>
      <c r="N4" s="5"/>
      <c r="O4" s="5"/>
      <c r="P4" s="5" t="str">
        <f>INDEX(B2:B101,MATCH(MIN(E2:E101),E2:E101,0))</f>
        <v>Pooja Verma</v>
      </c>
      <c r="Q4" s="5"/>
      <c r="R4" s="4"/>
      <c r="S4" s="4"/>
    </row>
    <row r="5" spans="1:22" x14ac:dyDescent="0.25">
      <c r="A5">
        <v>1095</v>
      </c>
      <c r="B5" t="s">
        <v>88</v>
      </c>
      <c r="C5" t="s">
        <v>99</v>
      </c>
      <c r="D5">
        <v>53</v>
      </c>
      <c r="E5" s="3">
        <v>35979</v>
      </c>
      <c r="F5" t="s">
        <v>143</v>
      </c>
      <c r="G5" t="s">
        <v>205</v>
      </c>
      <c r="H5">
        <v>4</v>
      </c>
    </row>
    <row r="6" spans="1:22" x14ac:dyDescent="0.25">
      <c r="A6">
        <v>1078</v>
      </c>
      <c r="B6" t="s">
        <v>81</v>
      </c>
      <c r="C6" t="s">
        <v>100</v>
      </c>
      <c r="D6">
        <v>23</v>
      </c>
      <c r="E6" s="3">
        <v>36098</v>
      </c>
      <c r="F6" t="s">
        <v>168</v>
      </c>
      <c r="G6" t="s">
        <v>204</v>
      </c>
      <c r="H6">
        <v>4</v>
      </c>
      <c r="J6" s="6" t="s">
        <v>212</v>
      </c>
      <c r="K6" s="6"/>
      <c r="L6" s="6"/>
      <c r="M6" s="6"/>
      <c r="N6" s="6"/>
      <c r="O6" s="6"/>
      <c r="P6" t="s">
        <v>207</v>
      </c>
      <c r="Q6" s="3">
        <f>SUMIF(G2:G101,P6,E2:E101)</f>
        <v>777972</v>
      </c>
    </row>
    <row r="7" spans="1:22" x14ac:dyDescent="0.25">
      <c r="A7">
        <v>1100</v>
      </c>
      <c r="B7" t="s">
        <v>98</v>
      </c>
      <c r="C7" t="s">
        <v>104</v>
      </c>
      <c r="D7">
        <v>48</v>
      </c>
      <c r="E7" s="3">
        <v>36108</v>
      </c>
      <c r="F7" t="s">
        <v>187</v>
      </c>
      <c r="G7" t="s">
        <v>209</v>
      </c>
      <c r="H7">
        <v>4</v>
      </c>
      <c r="J7" s="6"/>
      <c r="K7" s="6"/>
      <c r="L7" s="6"/>
      <c r="M7" s="6"/>
      <c r="N7" s="6"/>
      <c r="O7" s="6"/>
      <c r="P7" t="s">
        <v>205</v>
      </c>
      <c r="Q7" s="3">
        <f>SUMIF(G3:G102,P7,E3:E102)</f>
        <v>818400</v>
      </c>
    </row>
    <row r="8" spans="1:22" x14ac:dyDescent="0.25">
      <c r="A8">
        <v>1027</v>
      </c>
      <c r="B8" t="s">
        <v>33</v>
      </c>
      <c r="C8" t="s">
        <v>99</v>
      </c>
      <c r="D8">
        <v>22</v>
      </c>
      <c r="E8" s="3">
        <v>36112</v>
      </c>
      <c r="F8" t="s">
        <v>117</v>
      </c>
      <c r="G8" t="s">
        <v>204</v>
      </c>
      <c r="H8">
        <v>2</v>
      </c>
      <c r="J8" s="6"/>
      <c r="K8" s="6"/>
      <c r="L8" s="6"/>
      <c r="M8" s="6"/>
      <c r="N8" s="6"/>
      <c r="O8" s="6"/>
      <c r="P8" t="s">
        <v>209</v>
      </c>
      <c r="Q8" s="3">
        <f>SUMIF(G4:G103,P8,E4:E103)</f>
        <v>1231523</v>
      </c>
    </row>
    <row r="9" spans="1:22" x14ac:dyDescent="0.25">
      <c r="A9">
        <v>1047</v>
      </c>
      <c r="B9" t="s">
        <v>48</v>
      </c>
      <c r="C9" t="s">
        <v>103</v>
      </c>
      <c r="D9">
        <v>54</v>
      </c>
      <c r="E9" s="3">
        <v>37578</v>
      </c>
      <c r="F9" t="s">
        <v>191</v>
      </c>
      <c r="G9" t="s">
        <v>206</v>
      </c>
      <c r="H9">
        <v>2</v>
      </c>
      <c r="J9" s="6"/>
      <c r="K9" s="6"/>
      <c r="L9" s="6"/>
      <c r="M9" s="6"/>
      <c r="N9" s="6"/>
      <c r="O9" s="6"/>
      <c r="P9" t="s">
        <v>204</v>
      </c>
      <c r="Q9" s="3">
        <f>SUMIF(G5:G104,P9,E5:E104)</f>
        <v>1372420</v>
      </c>
    </row>
    <row r="10" spans="1:22" x14ac:dyDescent="0.25">
      <c r="A10">
        <v>1080</v>
      </c>
      <c r="B10" t="s">
        <v>83</v>
      </c>
      <c r="C10" t="s">
        <v>101</v>
      </c>
      <c r="D10">
        <v>36</v>
      </c>
      <c r="E10" s="3">
        <v>37907</v>
      </c>
      <c r="F10" t="s">
        <v>135</v>
      </c>
      <c r="G10" t="s">
        <v>204</v>
      </c>
      <c r="H10">
        <v>3</v>
      </c>
      <c r="J10" s="6"/>
      <c r="K10" s="6"/>
      <c r="L10" s="6"/>
      <c r="M10" s="6"/>
      <c r="N10" s="6"/>
      <c r="O10" s="6"/>
      <c r="P10" t="s">
        <v>208</v>
      </c>
      <c r="Q10" s="3">
        <f>SUMIF(G6:G105,P10,E6:E105)</f>
        <v>809683</v>
      </c>
    </row>
    <row r="11" spans="1:22" x14ac:dyDescent="0.25">
      <c r="A11">
        <v>1099</v>
      </c>
      <c r="B11" t="s">
        <v>97</v>
      </c>
      <c r="C11" t="s">
        <v>99</v>
      </c>
      <c r="D11">
        <v>53</v>
      </c>
      <c r="E11" s="3">
        <v>37957</v>
      </c>
      <c r="F11" t="s">
        <v>180</v>
      </c>
      <c r="G11" t="s">
        <v>207</v>
      </c>
      <c r="H11">
        <v>5</v>
      </c>
      <c r="J11" s="6"/>
      <c r="K11" s="6"/>
      <c r="L11" s="6"/>
      <c r="M11" s="6"/>
      <c r="N11" s="6"/>
      <c r="O11" s="6"/>
      <c r="P11" t="s">
        <v>206</v>
      </c>
      <c r="Q11" s="3">
        <f>SUMIF(G7:G106,P11,E7:E106)</f>
        <v>1065715</v>
      </c>
    </row>
    <row r="12" spans="1:22" x14ac:dyDescent="0.25">
      <c r="A12">
        <v>1068</v>
      </c>
      <c r="B12" t="s">
        <v>72</v>
      </c>
      <c r="C12" t="s">
        <v>102</v>
      </c>
      <c r="D12">
        <v>37</v>
      </c>
      <c r="E12" s="3">
        <v>38272</v>
      </c>
      <c r="F12" t="s">
        <v>196</v>
      </c>
      <c r="G12" t="s">
        <v>207</v>
      </c>
      <c r="H12">
        <v>1</v>
      </c>
    </row>
    <row r="13" spans="1:22" x14ac:dyDescent="0.25">
      <c r="A13">
        <v>1012</v>
      </c>
      <c r="B13" t="s">
        <v>19</v>
      </c>
      <c r="C13" t="s">
        <v>101</v>
      </c>
      <c r="D13">
        <v>36</v>
      </c>
      <c r="E13" s="3">
        <v>39065</v>
      </c>
      <c r="F13" t="s">
        <v>106</v>
      </c>
      <c r="G13" t="s">
        <v>208</v>
      </c>
      <c r="H13">
        <v>1</v>
      </c>
      <c r="J13" s="5"/>
      <c r="K13" s="5"/>
      <c r="L13" s="5"/>
      <c r="M13" s="5"/>
      <c r="N13" s="5"/>
      <c r="O13" s="5"/>
    </row>
    <row r="14" spans="1:22" x14ac:dyDescent="0.25">
      <c r="A14">
        <v>1085</v>
      </c>
      <c r="B14" t="s">
        <v>87</v>
      </c>
      <c r="C14" t="s">
        <v>103</v>
      </c>
      <c r="D14">
        <v>25</v>
      </c>
      <c r="E14" s="3">
        <v>39943</v>
      </c>
      <c r="F14" t="s">
        <v>139</v>
      </c>
      <c r="G14" t="s">
        <v>206</v>
      </c>
      <c r="H14">
        <v>3</v>
      </c>
    </row>
    <row r="15" spans="1:22" x14ac:dyDescent="0.25">
      <c r="A15">
        <v>1046</v>
      </c>
      <c r="B15" t="s">
        <v>51</v>
      </c>
      <c r="C15" t="s">
        <v>104</v>
      </c>
      <c r="D15">
        <v>38</v>
      </c>
      <c r="E15" s="3">
        <v>41702</v>
      </c>
      <c r="F15" t="s">
        <v>193</v>
      </c>
      <c r="G15" t="s">
        <v>205</v>
      </c>
      <c r="H15">
        <v>1</v>
      </c>
    </row>
    <row r="16" spans="1:22" x14ac:dyDescent="0.25">
      <c r="A16">
        <v>1065</v>
      </c>
      <c r="B16" t="s">
        <v>69</v>
      </c>
      <c r="C16" t="s">
        <v>102</v>
      </c>
      <c r="D16">
        <v>51</v>
      </c>
      <c r="E16" s="3">
        <v>41909</v>
      </c>
      <c r="F16" t="s">
        <v>159</v>
      </c>
      <c r="G16" t="s">
        <v>205</v>
      </c>
      <c r="H16">
        <v>4</v>
      </c>
    </row>
    <row r="17" spans="1:23" x14ac:dyDescent="0.25">
      <c r="A17">
        <v>1084</v>
      </c>
      <c r="B17" t="s">
        <v>81</v>
      </c>
      <c r="C17" t="s">
        <v>100</v>
      </c>
      <c r="D17">
        <v>43</v>
      </c>
      <c r="E17" s="3">
        <v>42082</v>
      </c>
      <c r="F17" t="s">
        <v>188</v>
      </c>
      <c r="G17" t="s">
        <v>205</v>
      </c>
      <c r="H17">
        <v>4</v>
      </c>
      <c r="J17" s="5" t="s">
        <v>214</v>
      </c>
      <c r="K17" s="5"/>
      <c r="L17" s="5"/>
      <c r="M17" s="5"/>
      <c r="N17" s="5"/>
      <c r="O17" s="5"/>
      <c r="P17">
        <v>8</v>
      </c>
      <c r="Q17">
        <v>7</v>
      </c>
      <c r="R17">
        <v>6</v>
      </c>
      <c r="S17">
        <v>5</v>
      </c>
      <c r="T17">
        <v>5</v>
      </c>
      <c r="U17">
        <v>4</v>
      </c>
      <c r="V17">
        <v>2</v>
      </c>
      <c r="W17">
        <v>1</v>
      </c>
    </row>
    <row r="18" spans="1:23" x14ac:dyDescent="0.25">
      <c r="A18">
        <v>1077</v>
      </c>
      <c r="B18" t="s">
        <v>21</v>
      </c>
      <c r="C18" t="s">
        <v>104</v>
      </c>
      <c r="D18">
        <v>55</v>
      </c>
      <c r="E18" s="3">
        <v>42521</v>
      </c>
      <c r="F18" t="s">
        <v>146</v>
      </c>
      <c r="G18" t="s">
        <v>204</v>
      </c>
      <c r="H18">
        <v>4</v>
      </c>
    </row>
    <row r="19" spans="1:23" x14ac:dyDescent="0.25">
      <c r="A19">
        <v>1061</v>
      </c>
      <c r="B19" t="s">
        <v>65</v>
      </c>
      <c r="C19" t="s">
        <v>100</v>
      </c>
      <c r="D19">
        <v>25</v>
      </c>
      <c r="E19" s="3">
        <v>43555</v>
      </c>
      <c r="F19" t="s">
        <v>122</v>
      </c>
      <c r="G19" t="s">
        <v>208</v>
      </c>
      <c r="H19">
        <v>4</v>
      </c>
    </row>
    <row r="20" spans="1:23" x14ac:dyDescent="0.25">
      <c r="A20">
        <v>1076</v>
      </c>
      <c r="B20" t="s">
        <v>80</v>
      </c>
      <c r="C20" t="s">
        <v>102</v>
      </c>
      <c r="D20">
        <v>53</v>
      </c>
      <c r="E20" s="3">
        <v>43901</v>
      </c>
      <c r="F20" t="s">
        <v>110</v>
      </c>
      <c r="G20" t="s">
        <v>205</v>
      </c>
      <c r="H20">
        <v>3</v>
      </c>
    </row>
    <row r="21" spans="1:23" x14ac:dyDescent="0.25">
      <c r="A21">
        <v>1004</v>
      </c>
      <c r="B21" t="s">
        <v>11</v>
      </c>
      <c r="C21" t="s">
        <v>101</v>
      </c>
      <c r="D21">
        <v>31</v>
      </c>
      <c r="E21" s="3">
        <v>44110</v>
      </c>
      <c r="F21" t="s">
        <v>140</v>
      </c>
      <c r="G21" t="s">
        <v>205</v>
      </c>
      <c r="H21">
        <v>1</v>
      </c>
      <c r="J21" s="5" t="s">
        <v>216</v>
      </c>
      <c r="K21" s="5"/>
      <c r="L21" s="5"/>
      <c r="M21" s="5"/>
      <c r="N21" s="5"/>
      <c r="O21" s="5"/>
      <c r="P21" t="s">
        <v>215</v>
      </c>
    </row>
    <row r="22" spans="1:23" x14ac:dyDescent="0.25">
      <c r="A22">
        <v>1033</v>
      </c>
      <c r="B22" t="s">
        <v>39</v>
      </c>
      <c r="C22" t="s">
        <v>99</v>
      </c>
      <c r="D22">
        <v>42</v>
      </c>
      <c r="E22" s="3">
        <v>45642</v>
      </c>
      <c r="F22" t="s">
        <v>132</v>
      </c>
      <c r="G22" t="s">
        <v>208</v>
      </c>
      <c r="H22">
        <v>2</v>
      </c>
    </row>
    <row r="23" spans="1:23" x14ac:dyDescent="0.25">
      <c r="A23">
        <v>1001</v>
      </c>
      <c r="B23" t="s">
        <v>8</v>
      </c>
      <c r="C23" t="s">
        <v>99</v>
      </c>
      <c r="D23">
        <v>39</v>
      </c>
      <c r="E23" s="3">
        <v>46049</v>
      </c>
      <c r="F23" t="s">
        <v>166</v>
      </c>
      <c r="G23" t="s">
        <v>204</v>
      </c>
      <c r="H23">
        <v>1</v>
      </c>
    </row>
    <row r="24" spans="1:23" x14ac:dyDescent="0.25">
      <c r="A24">
        <v>1011</v>
      </c>
      <c r="B24" t="s">
        <v>18</v>
      </c>
      <c r="C24" t="s">
        <v>101</v>
      </c>
      <c r="D24">
        <v>30</v>
      </c>
      <c r="E24" s="3">
        <v>46162</v>
      </c>
      <c r="F24" t="s">
        <v>105</v>
      </c>
      <c r="G24" t="s">
        <v>206</v>
      </c>
      <c r="H24">
        <v>5</v>
      </c>
    </row>
    <row r="25" spans="1:23" x14ac:dyDescent="0.25">
      <c r="A25">
        <v>1066</v>
      </c>
      <c r="B25" t="s">
        <v>70</v>
      </c>
      <c r="C25" t="s">
        <v>101</v>
      </c>
      <c r="D25">
        <v>38</v>
      </c>
      <c r="E25" s="3">
        <v>46532</v>
      </c>
      <c r="F25" t="s">
        <v>203</v>
      </c>
      <c r="G25" t="s">
        <v>209</v>
      </c>
      <c r="H25">
        <v>4</v>
      </c>
    </row>
    <row r="26" spans="1:23" x14ac:dyDescent="0.25">
      <c r="A26">
        <v>1092</v>
      </c>
      <c r="B26" t="s">
        <v>93</v>
      </c>
      <c r="C26" t="s">
        <v>99</v>
      </c>
      <c r="D26">
        <v>47</v>
      </c>
      <c r="E26" s="3">
        <v>47841</v>
      </c>
      <c r="F26" t="s">
        <v>129</v>
      </c>
      <c r="G26" t="s">
        <v>206</v>
      </c>
      <c r="H26">
        <v>4</v>
      </c>
    </row>
    <row r="27" spans="1:23" x14ac:dyDescent="0.25">
      <c r="A27">
        <v>1081</v>
      </c>
      <c r="B27" t="s">
        <v>84</v>
      </c>
      <c r="C27" t="s">
        <v>102</v>
      </c>
      <c r="D27">
        <v>52</v>
      </c>
      <c r="E27" s="3">
        <v>48120</v>
      </c>
      <c r="F27" t="s">
        <v>161</v>
      </c>
      <c r="G27" t="s">
        <v>206</v>
      </c>
      <c r="H27">
        <v>5</v>
      </c>
    </row>
    <row r="28" spans="1:23" x14ac:dyDescent="0.25">
      <c r="A28">
        <v>1089</v>
      </c>
      <c r="B28" t="s">
        <v>90</v>
      </c>
      <c r="C28" t="s">
        <v>104</v>
      </c>
      <c r="D28">
        <v>36</v>
      </c>
      <c r="E28" s="3">
        <v>48881</v>
      </c>
      <c r="F28" t="s">
        <v>142</v>
      </c>
      <c r="G28" t="s">
        <v>205</v>
      </c>
      <c r="H28">
        <v>4</v>
      </c>
    </row>
    <row r="29" spans="1:23" x14ac:dyDescent="0.25">
      <c r="A29">
        <v>1096</v>
      </c>
      <c r="B29" t="s">
        <v>94</v>
      </c>
      <c r="C29" t="s">
        <v>100</v>
      </c>
      <c r="D29">
        <v>38</v>
      </c>
      <c r="E29" s="3">
        <v>48888</v>
      </c>
      <c r="F29" t="s">
        <v>136</v>
      </c>
      <c r="G29" t="s">
        <v>208</v>
      </c>
      <c r="H29">
        <v>5</v>
      </c>
    </row>
    <row r="30" spans="1:23" x14ac:dyDescent="0.25">
      <c r="A30">
        <v>1029</v>
      </c>
      <c r="B30" t="s">
        <v>35</v>
      </c>
      <c r="C30" t="s">
        <v>102</v>
      </c>
      <c r="D30">
        <v>34</v>
      </c>
      <c r="E30" s="3">
        <v>49445</v>
      </c>
      <c r="F30" t="s">
        <v>111</v>
      </c>
      <c r="G30" t="s">
        <v>209</v>
      </c>
      <c r="H30">
        <v>5</v>
      </c>
    </row>
    <row r="31" spans="1:23" x14ac:dyDescent="0.25">
      <c r="A31" s="7">
        <v>1021</v>
      </c>
      <c r="B31" s="7" t="s">
        <v>27</v>
      </c>
      <c r="C31" s="7" t="s">
        <v>102</v>
      </c>
      <c r="D31" s="7">
        <v>26</v>
      </c>
      <c r="E31" s="8">
        <v>52156</v>
      </c>
      <c r="F31" t="s">
        <v>138</v>
      </c>
      <c r="G31" s="7" t="s">
        <v>206</v>
      </c>
      <c r="H31" s="7">
        <v>5</v>
      </c>
    </row>
    <row r="32" spans="1:23" x14ac:dyDescent="0.25">
      <c r="A32">
        <v>1079</v>
      </c>
      <c r="B32" t="s">
        <v>82</v>
      </c>
      <c r="C32" t="s">
        <v>100</v>
      </c>
      <c r="D32">
        <v>55</v>
      </c>
      <c r="E32" s="3">
        <v>52528</v>
      </c>
      <c r="F32" t="s">
        <v>162</v>
      </c>
      <c r="G32" t="s">
        <v>207</v>
      </c>
      <c r="H32">
        <v>5</v>
      </c>
    </row>
    <row r="33" spans="1:8" x14ac:dyDescent="0.25">
      <c r="A33">
        <v>1044</v>
      </c>
      <c r="B33" t="s">
        <v>49</v>
      </c>
      <c r="C33" t="s">
        <v>102</v>
      </c>
      <c r="D33">
        <v>38</v>
      </c>
      <c r="E33" s="3">
        <v>52915</v>
      </c>
      <c r="F33" t="s">
        <v>181</v>
      </c>
      <c r="G33" t="s">
        <v>204</v>
      </c>
      <c r="H33">
        <v>2</v>
      </c>
    </row>
    <row r="34" spans="1:8" x14ac:dyDescent="0.25">
      <c r="A34">
        <v>1045</v>
      </c>
      <c r="B34" t="s">
        <v>50</v>
      </c>
      <c r="C34" t="s">
        <v>104</v>
      </c>
      <c r="D34">
        <v>39</v>
      </c>
      <c r="E34" s="3">
        <v>53012</v>
      </c>
      <c r="F34" t="s">
        <v>185</v>
      </c>
      <c r="G34" t="s">
        <v>206</v>
      </c>
      <c r="H34">
        <v>4</v>
      </c>
    </row>
    <row r="35" spans="1:8" x14ac:dyDescent="0.25">
      <c r="A35">
        <v>1073</v>
      </c>
      <c r="B35" t="s">
        <v>77</v>
      </c>
      <c r="C35" t="s">
        <v>104</v>
      </c>
      <c r="D35">
        <v>49</v>
      </c>
      <c r="E35" s="3">
        <v>53736</v>
      </c>
      <c r="F35" t="s">
        <v>147</v>
      </c>
      <c r="G35" t="s">
        <v>208</v>
      </c>
      <c r="H35">
        <v>2</v>
      </c>
    </row>
    <row r="36" spans="1:8" x14ac:dyDescent="0.25">
      <c r="A36">
        <v>1048</v>
      </c>
      <c r="B36" t="s">
        <v>52</v>
      </c>
      <c r="C36" t="s">
        <v>103</v>
      </c>
      <c r="D36">
        <v>34</v>
      </c>
      <c r="E36" s="3">
        <v>53869</v>
      </c>
      <c r="F36" t="s">
        <v>194</v>
      </c>
      <c r="G36" t="s">
        <v>209</v>
      </c>
      <c r="H36">
        <v>3</v>
      </c>
    </row>
    <row r="37" spans="1:8" x14ac:dyDescent="0.25">
      <c r="A37">
        <v>1035</v>
      </c>
      <c r="B37" t="s">
        <v>41</v>
      </c>
      <c r="C37" t="s">
        <v>104</v>
      </c>
      <c r="D37">
        <v>37</v>
      </c>
      <c r="E37" s="3">
        <v>54217</v>
      </c>
      <c r="F37" t="s">
        <v>156</v>
      </c>
      <c r="G37" t="s">
        <v>204</v>
      </c>
      <c r="H37">
        <v>4</v>
      </c>
    </row>
    <row r="38" spans="1:8" x14ac:dyDescent="0.25">
      <c r="A38">
        <v>1007</v>
      </c>
      <c r="B38" t="s">
        <v>14</v>
      </c>
      <c r="C38" t="s">
        <v>102</v>
      </c>
      <c r="D38">
        <v>28</v>
      </c>
      <c r="E38" s="3">
        <v>54911</v>
      </c>
      <c r="F38" t="s">
        <v>123</v>
      </c>
      <c r="G38" t="s">
        <v>208</v>
      </c>
      <c r="H38">
        <v>3</v>
      </c>
    </row>
    <row r="39" spans="1:8" x14ac:dyDescent="0.25">
      <c r="A39">
        <v>1060</v>
      </c>
      <c r="B39" t="s">
        <v>64</v>
      </c>
      <c r="C39" t="s">
        <v>102</v>
      </c>
      <c r="D39">
        <v>36</v>
      </c>
      <c r="E39" s="3">
        <v>55102</v>
      </c>
      <c r="F39" t="s">
        <v>121</v>
      </c>
      <c r="G39" t="s">
        <v>204</v>
      </c>
      <c r="H39">
        <v>2</v>
      </c>
    </row>
    <row r="40" spans="1:8" x14ac:dyDescent="0.25">
      <c r="A40">
        <v>1070</v>
      </c>
      <c r="B40" t="s">
        <v>74</v>
      </c>
      <c r="C40" t="s">
        <v>99</v>
      </c>
      <c r="D40">
        <v>46</v>
      </c>
      <c r="E40" s="3">
        <v>55995</v>
      </c>
      <c r="F40" t="s">
        <v>128</v>
      </c>
      <c r="G40" t="s">
        <v>204</v>
      </c>
      <c r="H40">
        <v>1</v>
      </c>
    </row>
    <row r="41" spans="1:8" x14ac:dyDescent="0.25">
      <c r="A41">
        <v>1054</v>
      </c>
      <c r="B41" t="s">
        <v>58</v>
      </c>
      <c r="C41" t="s">
        <v>104</v>
      </c>
      <c r="D41">
        <v>51</v>
      </c>
      <c r="E41" s="3">
        <v>57160</v>
      </c>
      <c r="F41" t="s">
        <v>165</v>
      </c>
      <c r="G41" t="s">
        <v>207</v>
      </c>
      <c r="H41">
        <v>5</v>
      </c>
    </row>
    <row r="42" spans="1:8" x14ac:dyDescent="0.25">
      <c r="A42">
        <v>1090</v>
      </c>
      <c r="B42" t="s">
        <v>91</v>
      </c>
      <c r="C42" t="s">
        <v>99</v>
      </c>
      <c r="D42">
        <v>34</v>
      </c>
      <c r="E42" s="3">
        <v>57861</v>
      </c>
      <c r="F42" t="s">
        <v>179</v>
      </c>
      <c r="G42" t="s">
        <v>206</v>
      </c>
      <c r="H42">
        <v>2</v>
      </c>
    </row>
    <row r="43" spans="1:8" x14ac:dyDescent="0.25">
      <c r="A43">
        <v>1051</v>
      </c>
      <c r="B43" t="s">
        <v>55</v>
      </c>
      <c r="C43" t="s">
        <v>101</v>
      </c>
      <c r="D43">
        <v>35</v>
      </c>
      <c r="E43" s="3">
        <v>58173</v>
      </c>
      <c r="F43" t="s">
        <v>144</v>
      </c>
      <c r="G43" t="s">
        <v>206</v>
      </c>
      <c r="H43">
        <v>5</v>
      </c>
    </row>
    <row r="44" spans="1:8" x14ac:dyDescent="0.25">
      <c r="A44">
        <v>1003</v>
      </c>
      <c r="B44" t="s">
        <v>10</v>
      </c>
      <c r="C44" t="s">
        <v>100</v>
      </c>
      <c r="D44">
        <v>36</v>
      </c>
      <c r="E44" s="3">
        <v>59439</v>
      </c>
      <c r="F44" t="s">
        <v>175</v>
      </c>
      <c r="G44" t="s">
        <v>205</v>
      </c>
      <c r="H44">
        <v>1</v>
      </c>
    </row>
    <row r="45" spans="1:8" x14ac:dyDescent="0.25">
      <c r="A45">
        <v>1058</v>
      </c>
      <c r="B45" t="s">
        <v>62</v>
      </c>
      <c r="C45" t="s">
        <v>99</v>
      </c>
      <c r="D45">
        <v>52</v>
      </c>
      <c r="E45" s="3">
        <v>59495</v>
      </c>
      <c r="F45" t="s">
        <v>150</v>
      </c>
      <c r="G45" t="s">
        <v>204</v>
      </c>
      <c r="H45">
        <v>3</v>
      </c>
    </row>
    <row r="46" spans="1:8" x14ac:dyDescent="0.25">
      <c r="A46">
        <v>1026</v>
      </c>
      <c r="B46" t="s">
        <v>32</v>
      </c>
      <c r="C46" t="s">
        <v>102</v>
      </c>
      <c r="D46">
        <v>39</v>
      </c>
      <c r="E46" s="3">
        <v>60318</v>
      </c>
      <c r="F46" t="s">
        <v>131</v>
      </c>
      <c r="G46" t="s">
        <v>209</v>
      </c>
      <c r="H46">
        <v>4</v>
      </c>
    </row>
    <row r="47" spans="1:8" x14ac:dyDescent="0.25">
      <c r="A47">
        <v>1074</v>
      </c>
      <c r="B47" t="s">
        <v>78</v>
      </c>
      <c r="C47" t="s">
        <v>103</v>
      </c>
      <c r="D47">
        <v>52</v>
      </c>
      <c r="E47" s="3">
        <v>60465</v>
      </c>
      <c r="F47" t="s">
        <v>152</v>
      </c>
      <c r="G47" t="s">
        <v>207</v>
      </c>
      <c r="H47">
        <v>5</v>
      </c>
    </row>
    <row r="48" spans="1:8" x14ac:dyDescent="0.25">
      <c r="A48">
        <v>1094</v>
      </c>
      <c r="B48" t="s">
        <v>91</v>
      </c>
      <c r="C48" t="s">
        <v>104</v>
      </c>
      <c r="D48">
        <v>33</v>
      </c>
      <c r="E48" s="3">
        <v>60834</v>
      </c>
      <c r="F48" t="s">
        <v>182</v>
      </c>
      <c r="G48" t="s">
        <v>207</v>
      </c>
      <c r="H48">
        <v>4</v>
      </c>
    </row>
    <row r="49" spans="1:8" x14ac:dyDescent="0.25">
      <c r="A49">
        <v>1072</v>
      </c>
      <c r="B49" t="s">
        <v>76</v>
      </c>
      <c r="C49" t="s">
        <v>103</v>
      </c>
      <c r="D49">
        <v>49</v>
      </c>
      <c r="E49" s="3">
        <v>61058</v>
      </c>
      <c r="F49" t="s">
        <v>127</v>
      </c>
      <c r="G49" t="s">
        <v>209</v>
      </c>
      <c r="H49">
        <v>5</v>
      </c>
    </row>
    <row r="50" spans="1:8" x14ac:dyDescent="0.25">
      <c r="A50">
        <v>1082</v>
      </c>
      <c r="B50" t="s">
        <v>85</v>
      </c>
      <c r="C50" t="s">
        <v>102</v>
      </c>
      <c r="D50">
        <v>45</v>
      </c>
      <c r="E50" s="3">
        <v>61058</v>
      </c>
      <c r="F50" t="s">
        <v>151</v>
      </c>
      <c r="G50" t="s">
        <v>209</v>
      </c>
      <c r="H50">
        <v>5</v>
      </c>
    </row>
    <row r="51" spans="1:8" x14ac:dyDescent="0.25">
      <c r="A51">
        <v>1093</v>
      </c>
      <c r="B51" t="s">
        <v>11</v>
      </c>
      <c r="C51" t="s">
        <v>103</v>
      </c>
      <c r="D51">
        <v>38</v>
      </c>
      <c r="E51" s="3">
        <v>61058</v>
      </c>
      <c r="F51" t="s">
        <v>177</v>
      </c>
      <c r="G51" t="s">
        <v>204</v>
      </c>
      <c r="H51">
        <v>5</v>
      </c>
    </row>
    <row r="52" spans="1:8" x14ac:dyDescent="0.25">
      <c r="A52">
        <v>1069</v>
      </c>
      <c r="B52" t="s">
        <v>73</v>
      </c>
      <c r="C52" t="s">
        <v>102</v>
      </c>
      <c r="D52">
        <v>29</v>
      </c>
      <c r="E52" s="3">
        <v>61058</v>
      </c>
      <c r="F52" t="s">
        <v>201</v>
      </c>
      <c r="G52" t="s">
        <v>204</v>
      </c>
      <c r="H52">
        <v>3</v>
      </c>
    </row>
    <row r="53" spans="1:8" x14ac:dyDescent="0.25">
      <c r="A53">
        <v>1002</v>
      </c>
      <c r="B53" t="s">
        <v>9</v>
      </c>
      <c r="C53" t="s">
        <v>100</v>
      </c>
      <c r="D53">
        <v>24</v>
      </c>
      <c r="E53" s="3">
        <v>61058</v>
      </c>
      <c r="F53" t="s">
        <v>109</v>
      </c>
      <c r="G53" t="s">
        <v>204</v>
      </c>
      <c r="H53">
        <v>2</v>
      </c>
    </row>
    <row r="54" spans="1:8" x14ac:dyDescent="0.25">
      <c r="A54">
        <v>1042</v>
      </c>
      <c r="B54" t="s">
        <v>47</v>
      </c>
      <c r="C54" t="s">
        <v>103</v>
      </c>
      <c r="D54">
        <v>31</v>
      </c>
      <c r="E54" s="3">
        <v>61058</v>
      </c>
      <c r="F54" t="s">
        <v>178</v>
      </c>
      <c r="G54" t="s">
        <v>204</v>
      </c>
      <c r="H54">
        <v>2</v>
      </c>
    </row>
    <row r="55" spans="1:8" x14ac:dyDescent="0.25">
      <c r="A55">
        <v>1053</v>
      </c>
      <c r="B55" t="s">
        <v>57</v>
      </c>
      <c r="C55" t="s">
        <v>104</v>
      </c>
      <c r="D55">
        <v>37</v>
      </c>
      <c r="E55" s="3">
        <v>61058</v>
      </c>
      <c r="F55" t="s">
        <v>198</v>
      </c>
      <c r="G55" t="s">
        <v>204</v>
      </c>
      <c r="H55">
        <v>2</v>
      </c>
    </row>
    <row r="56" spans="1:8" x14ac:dyDescent="0.25">
      <c r="A56">
        <v>1043</v>
      </c>
      <c r="B56" t="s">
        <v>48</v>
      </c>
      <c r="C56" t="s">
        <v>99</v>
      </c>
      <c r="D56">
        <v>37</v>
      </c>
      <c r="E56" s="3">
        <v>61058</v>
      </c>
      <c r="F56" t="s">
        <v>171</v>
      </c>
      <c r="G56" t="s">
        <v>207</v>
      </c>
      <c r="H56">
        <v>1</v>
      </c>
    </row>
    <row r="57" spans="1:8" x14ac:dyDescent="0.25">
      <c r="A57">
        <v>1063</v>
      </c>
      <c r="B57" t="s">
        <v>67</v>
      </c>
      <c r="C57" t="s">
        <v>99</v>
      </c>
      <c r="D57">
        <v>36</v>
      </c>
      <c r="E57" s="3">
        <v>61996</v>
      </c>
      <c r="F57" t="s">
        <v>195</v>
      </c>
      <c r="G57" t="s">
        <v>205</v>
      </c>
      <c r="H57">
        <v>4</v>
      </c>
    </row>
    <row r="58" spans="1:8" x14ac:dyDescent="0.25">
      <c r="A58">
        <v>1030</v>
      </c>
      <c r="B58" t="s">
        <v>36</v>
      </c>
      <c r="C58" t="s">
        <v>104</v>
      </c>
      <c r="D58">
        <v>52</v>
      </c>
      <c r="E58" s="3">
        <v>62954</v>
      </c>
      <c r="F58" t="s">
        <v>116</v>
      </c>
      <c r="G58" t="s">
        <v>206</v>
      </c>
      <c r="H58">
        <v>2</v>
      </c>
    </row>
    <row r="59" spans="1:8" x14ac:dyDescent="0.25">
      <c r="A59">
        <v>1008</v>
      </c>
      <c r="B59" t="s">
        <v>15</v>
      </c>
      <c r="C59" t="s">
        <v>103</v>
      </c>
      <c r="D59">
        <v>32</v>
      </c>
      <c r="E59" s="3">
        <v>65005</v>
      </c>
      <c r="F59" t="s">
        <v>200</v>
      </c>
      <c r="G59" t="s">
        <v>204</v>
      </c>
      <c r="H59">
        <v>2</v>
      </c>
    </row>
    <row r="60" spans="1:8" x14ac:dyDescent="0.25">
      <c r="A60">
        <v>1040</v>
      </c>
      <c r="B60" t="s">
        <v>45</v>
      </c>
      <c r="C60" t="s">
        <v>104</v>
      </c>
      <c r="D60">
        <v>31</v>
      </c>
      <c r="E60" s="3">
        <v>65755</v>
      </c>
      <c r="F60" t="s">
        <v>197</v>
      </c>
      <c r="G60" t="s">
        <v>205</v>
      </c>
      <c r="H60">
        <v>5</v>
      </c>
    </row>
    <row r="61" spans="1:8" x14ac:dyDescent="0.25">
      <c r="A61">
        <v>1019</v>
      </c>
      <c r="B61" t="s">
        <v>26</v>
      </c>
      <c r="C61" t="s">
        <v>102</v>
      </c>
      <c r="D61">
        <v>52</v>
      </c>
      <c r="E61" s="3">
        <v>66031</v>
      </c>
      <c r="F61" t="s">
        <v>189</v>
      </c>
      <c r="G61" t="s">
        <v>205</v>
      </c>
      <c r="H61">
        <v>5</v>
      </c>
    </row>
    <row r="62" spans="1:8" x14ac:dyDescent="0.25">
      <c r="A62">
        <v>1088</v>
      </c>
      <c r="B62" t="s">
        <v>89</v>
      </c>
      <c r="C62" t="s">
        <v>102</v>
      </c>
      <c r="D62">
        <v>33</v>
      </c>
      <c r="E62" s="3">
        <v>66175</v>
      </c>
      <c r="F62" t="s">
        <v>167</v>
      </c>
      <c r="G62" t="s">
        <v>204</v>
      </c>
      <c r="H62">
        <v>1</v>
      </c>
    </row>
    <row r="63" spans="1:8" x14ac:dyDescent="0.25">
      <c r="A63">
        <v>1006</v>
      </c>
      <c r="B63" t="s">
        <v>13</v>
      </c>
      <c r="C63" t="s">
        <v>99</v>
      </c>
      <c r="D63">
        <v>38</v>
      </c>
      <c r="E63" s="3">
        <v>67837</v>
      </c>
      <c r="F63" t="s">
        <v>137</v>
      </c>
      <c r="G63" t="s">
        <v>207</v>
      </c>
      <c r="H63">
        <v>1</v>
      </c>
    </row>
    <row r="64" spans="1:8" x14ac:dyDescent="0.25">
      <c r="A64">
        <v>1013</v>
      </c>
      <c r="B64" t="s">
        <v>20</v>
      </c>
      <c r="C64" t="s">
        <v>99</v>
      </c>
      <c r="D64">
        <v>49</v>
      </c>
      <c r="E64" s="3">
        <v>69086</v>
      </c>
      <c r="F64" t="s">
        <v>114</v>
      </c>
      <c r="G64" t="s">
        <v>208</v>
      </c>
      <c r="H64">
        <v>4</v>
      </c>
    </row>
    <row r="65" spans="1:8" x14ac:dyDescent="0.25">
      <c r="A65">
        <v>1017</v>
      </c>
      <c r="B65" t="s">
        <v>24</v>
      </c>
      <c r="C65" t="s">
        <v>103</v>
      </c>
      <c r="D65">
        <v>22</v>
      </c>
      <c r="E65" s="3">
        <v>69252</v>
      </c>
      <c r="F65" t="s">
        <v>114</v>
      </c>
      <c r="G65" t="s">
        <v>208</v>
      </c>
      <c r="H65">
        <v>1</v>
      </c>
    </row>
    <row r="66" spans="1:8" x14ac:dyDescent="0.25">
      <c r="A66">
        <v>1037</v>
      </c>
      <c r="B66" t="s">
        <v>26</v>
      </c>
      <c r="C66" t="s">
        <v>101</v>
      </c>
      <c r="D66">
        <v>40</v>
      </c>
      <c r="E66" s="3">
        <v>69638</v>
      </c>
      <c r="F66" t="s">
        <v>149</v>
      </c>
      <c r="G66" t="s">
        <v>207</v>
      </c>
      <c r="H66">
        <v>3</v>
      </c>
    </row>
    <row r="67" spans="1:8" x14ac:dyDescent="0.25">
      <c r="A67">
        <v>1087</v>
      </c>
      <c r="B67" t="s">
        <v>88</v>
      </c>
      <c r="C67" t="s">
        <v>101</v>
      </c>
      <c r="D67">
        <v>25</v>
      </c>
      <c r="E67" s="3">
        <v>69952</v>
      </c>
      <c r="F67" t="s">
        <v>107</v>
      </c>
      <c r="G67" t="s">
        <v>209</v>
      </c>
      <c r="H67">
        <v>2</v>
      </c>
    </row>
    <row r="68" spans="1:8" x14ac:dyDescent="0.25">
      <c r="A68">
        <v>1057</v>
      </c>
      <c r="B68" t="s">
        <v>61</v>
      </c>
      <c r="C68" t="s">
        <v>101</v>
      </c>
      <c r="D68">
        <v>50</v>
      </c>
      <c r="E68" s="3">
        <v>70150</v>
      </c>
      <c r="F68" t="s">
        <v>176</v>
      </c>
      <c r="G68" t="s">
        <v>207</v>
      </c>
      <c r="H68">
        <v>5</v>
      </c>
    </row>
    <row r="69" spans="1:8" x14ac:dyDescent="0.25">
      <c r="A69">
        <v>1032</v>
      </c>
      <c r="B69" t="s">
        <v>38</v>
      </c>
      <c r="C69" t="s">
        <v>103</v>
      </c>
      <c r="D69">
        <v>24</v>
      </c>
      <c r="E69" s="3">
        <v>70591</v>
      </c>
      <c r="F69" t="s">
        <v>120</v>
      </c>
      <c r="G69" t="s">
        <v>208</v>
      </c>
      <c r="H69">
        <v>5</v>
      </c>
    </row>
    <row r="70" spans="1:8" x14ac:dyDescent="0.25">
      <c r="A70">
        <v>1034</v>
      </c>
      <c r="B70" t="s">
        <v>40</v>
      </c>
      <c r="C70" t="s">
        <v>104</v>
      </c>
      <c r="D70">
        <v>51</v>
      </c>
      <c r="E70" s="3">
        <v>70708</v>
      </c>
      <c r="F70" t="s">
        <v>148</v>
      </c>
      <c r="G70" t="s">
        <v>209</v>
      </c>
      <c r="H70">
        <v>1</v>
      </c>
    </row>
    <row r="71" spans="1:8" x14ac:dyDescent="0.25">
      <c r="A71">
        <v>1064</v>
      </c>
      <c r="B71" t="s">
        <v>68</v>
      </c>
      <c r="C71" t="s">
        <v>100</v>
      </c>
      <c r="D71">
        <v>30</v>
      </c>
      <c r="E71" s="3">
        <v>70780</v>
      </c>
      <c r="F71" t="s">
        <v>170</v>
      </c>
      <c r="G71" t="s">
        <v>209</v>
      </c>
      <c r="H71">
        <v>4</v>
      </c>
    </row>
    <row r="72" spans="1:8" x14ac:dyDescent="0.25">
      <c r="A72">
        <v>1098</v>
      </c>
      <c r="B72" t="s">
        <v>96</v>
      </c>
      <c r="C72" t="s">
        <v>103</v>
      </c>
      <c r="D72">
        <v>53</v>
      </c>
      <c r="E72" s="3">
        <v>70986</v>
      </c>
      <c r="F72" t="s">
        <v>199</v>
      </c>
      <c r="G72" t="s">
        <v>209</v>
      </c>
      <c r="H72">
        <v>2</v>
      </c>
    </row>
    <row r="73" spans="1:8" x14ac:dyDescent="0.25">
      <c r="A73">
        <v>1039</v>
      </c>
      <c r="B73" t="s">
        <v>44</v>
      </c>
      <c r="C73" t="s">
        <v>101</v>
      </c>
      <c r="D73">
        <v>30</v>
      </c>
      <c r="E73" s="3">
        <v>71753</v>
      </c>
      <c r="F73" t="s">
        <v>174</v>
      </c>
      <c r="G73" t="s">
        <v>204</v>
      </c>
      <c r="H73">
        <v>4</v>
      </c>
    </row>
    <row r="74" spans="1:8" x14ac:dyDescent="0.25">
      <c r="A74">
        <v>1083</v>
      </c>
      <c r="B74" t="s">
        <v>86</v>
      </c>
      <c r="C74" t="s">
        <v>101</v>
      </c>
      <c r="D74">
        <v>30</v>
      </c>
      <c r="E74" s="3">
        <v>71803</v>
      </c>
      <c r="F74" t="s">
        <v>158</v>
      </c>
      <c r="G74" t="s">
        <v>208</v>
      </c>
      <c r="H74">
        <v>1</v>
      </c>
    </row>
    <row r="75" spans="1:8" x14ac:dyDescent="0.25">
      <c r="A75">
        <v>1055</v>
      </c>
      <c r="B75" t="s">
        <v>59</v>
      </c>
      <c r="C75" t="s">
        <v>102</v>
      </c>
      <c r="D75">
        <v>31</v>
      </c>
      <c r="E75" s="3">
        <v>72995</v>
      </c>
      <c r="F75" t="s">
        <v>163</v>
      </c>
      <c r="G75" t="s">
        <v>209</v>
      </c>
      <c r="H75">
        <v>1</v>
      </c>
    </row>
    <row r="76" spans="1:8" x14ac:dyDescent="0.25">
      <c r="A76">
        <v>1024</v>
      </c>
      <c r="B76" t="s">
        <v>30</v>
      </c>
      <c r="C76" t="s">
        <v>104</v>
      </c>
      <c r="D76">
        <v>28</v>
      </c>
      <c r="E76" s="3">
        <v>73187</v>
      </c>
      <c r="F76" t="s">
        <v>192</v>
      </c>
      <c r="G76" t="s">
        <v>205</v>
      </c>
      <c r="H76">
        <v>4</v>
      </c>
    </row>
    <row r="77" spans="1:8" x14ac:dyDescent="0.25">
      <c r="A77">
        <v>1036</v>
      </c>
      <c r="B77" t="s">
        <v>42</v>
      </c>
      <c r="C77" t="s">
        <v>104</v>
      </c>
      <c r="D77">
        <v>41</v>
      </c>
      <c r="E77" s="3">
        <v>73475</v>
      </c>
      <c r="F77" t="s">
        <v>173</v>
      </c>
      <c r="G77" t="s">
        <v>204</v>
      </c>
      <c r="H77">
        <v>3</v>
      </c>
    </row>
    <row r="78" spans="1:8" x14ac:dyDescent="0.25">
      <c r="A78">
        <v>1049</v>
      </c>
      <c r="B78" t="s">
        <v>53</v>
      </c>
      <c r="C78" t="s">
        <v>103</v>
      </c>
      <c r="D78">
        <v>41</v>
      </c>
      <c r="E78" s="3">
        <v>73705</v>
      </c>
      <c r="F78" t="s">
        <v>183</v>
      </c>
      <c r="G78" t="s">
        <v>205</v>
      </c>
      <c r="H78">
        <v>4</v>
      </c>
    </row>
    <row r="79" spans="1:8" x14ac:dyDescent="0.25">
      <c r="A79">
        <v>1031</v>
      </c>
      <c r="B79" t="s">
        <v>37</v>
      </c>
      <c r="C79" t="s">
        <v>103</v>
      </c>
      <c r="D79">
        <v>26</v>
      </c>
      <c r="E79" s="3">
        <v>74250</v>
      </c>
      <c r="F79" t="s">
        <v>119</v>
      </c>
      <c r="G79" t="s">
        <v>204</v>
      </c>
      <c r="H79">
        <v>4</v>
      </c>
    </row>
    <row r="80" spans="1:8" x14ac:dyDescent="0.25">
      <c r="A80">
        <v>1050</v>
      </c>
      <c r="B80" t="s">
        <v>54</v>
      </c>
      <c r="C80" t="s">
        <v>99</v>
      </c>
      <c r="D80">
        <v>46</v>
      </c>
      <c r="E80" s="3">
        <v>74388</v>
      </c>
      <c r="F80" t="s">
        <v>184</v>
      </c>
      <c r="G80" t="s">
        <v>204</v>
      </c>
      <c r="H80">
        <v>5</v>
      </c>
    </row>
    <row r="81" spans="1:8" x14ac:dyDescent="0.25">
      <c r="A81">
        <v>1014</v>
      </c>
      <c r="B81" t="s">
        <v>21</v>
      </c>
      <c r="C81" t="s">
        <v>104</v>
      </c>
      <c r="D81">
        <v>29</v>
      </c>
      <c r="E81" s="3">
        <v>74676</v>
      </c>
      <c r="F81" t="s">
        <v>112</v>
      </c>
      <c r="G81" t="s">
        <v>206</v>
      </c>
      <c r="H81">
        <v>3</v>
      </c>
    </row>
    <row r="82" spans="1:8" x14ac:dyDescent="0.25">
      <c r="A82">
        <v>1020</v>
      </c>
      <c r="B82" t="s">
        <v>10</v>
      </c>
      <c r="C82" t="s">
        <v>99</v>
      </c>
      <c r="D82">
        <v>34</v>
      </c>
      <c r="E82" s="3">
        <v>76723</v>
      </c>
      <c r="F82" t="s">
        <v>190</v>
      </c>
      <c r="G82" t="s">
        <v>208</v>
      </c>
      <c r="H82">
        <v>3</v>
      </c>
    </row>
    <row r="83" spans="1:8" x14ac:dyDescent="0.25">
      <c r="A83">
        <v>1059</v>
      </c>
      <c r="B83" t="s">
        <v>63</v>
      </c>
      <c r="C83" t="s">
        <v>100</v>
      </c>
      <c r="D83">
        <v>26</v>
      </c>
      <c r="E83" s="3">
        <v>76762</v>
      </c>
      <c r="F83" t="s">
        <v>115</v>
      </c>
      <c r="G83" t="s">
        <v>204</v>
      </c>
      <c r="H83">
        <v>3</v>
      </c>
    </row>
    <row r="84" spans="1:8" x14ac:dyDescent="0.25">
      <c r="A84">
        <v>1023</v>
      </c>
      <c r="B84" t="s">
        <v>29</v>
      </c>
      <c r="C84" t="s">
        <v>103</v>
      </c>
      <c r="D84">
        <v>30</v>
      </c>
      <c r="E84" s="3">
        <v>77405</v>
      </c>
      <c r="F84" t="s">
        <v>153</v>
      </c>
      <c r="G84" t="s">
        <v>206</v>
      </c>
      <c r="H84">
        <v>5</v>
      </c>
    </row>
    <row r="85" spans="1:8" x14ac:dyDescent="0.25">
      <c r="A85">
        <v>1025</v>
      </c>
      <c r="B85" t="s">
        <v>31</v>
      </c>
      <c r="C85" t="s">
        <v>104</v>
      </c>
      <c r="D85">
        <v>47</v>
      </c>
      <c r="E85" s="3">
        <v>77724</v>
      </c>
      <c r="F85" t="s">
        <v>130</v>
      </c>
      <c r="G85" t="s">
        <v>209</v>
      </c>
      <c r="H85">
        <v>2</v>
      </c>
    </row>
    <row r="86" spans="1:8" x14ac:dyDescent="0.25">
      <c r="A86">
        <v>1005</v>
      </c>
      <c r="B86" t="s">
        <v>12</v>
      </c>
      <c r="C86" t="s">
        <v>101</v>
      </c>
      <c r="D86">
        <v>24</v>
      </c>
      <c r="E86" s="3">
        <v>77823</v>
      </c>
      <c r="F86" t="s">
        <v>108</v>
      </c>
      <c r="G86" t="s">
        <v>206</v>
      </c>
      <c r="H86">
        <v>1</v>
      </c>
    </row>
    <row r="87" spans="1:8" x14ac:dyDescent="0.25">
      <c r="A87">
        <v>1075</v>
      </c>
      <c r="B87" t="s">
        <v>79</v>
      </c>
      <c r="C87" t="s">
        <v>100</v>
      </c>
      <c r="D87">
        <v>37</v>
      </c>
      <c r="E87" s="3">
        <v>79183</v>
      </c>
      <c r="F87" t="s">
        <v>113</v>
      </c>
      <c r="G87" t="s">
        <v>206</v>
      </c>
      <c r="H87">
        <v>5</v>
      </c>
    </row>
    <row r="88" spans="1:8" x14ac:dyDescent="0.25">
      <c r="A88">
        <v>1086</v>
      </c>
      <c r="B88" t="s">
        <v>47</v>
      </c>
      <c r="C88" t="s">
        <v>103</v>
      </c>
      <c r="D88">
        <v>36</v>
      </c>
      <c r="E88" s="3">
        <v>80835</v>
      </c>
      <c r="F88" t="s">
        <v>154</v>
      </c>
      <c r="G88" t="s">
        <v>208</v>
      </c>
      <c r="H88">
        <v>4</v>
      </c>
    </row>
    <row r="89" spans="1:8" x14ac:dyDescent="0.25">
      <c r="A89">
        <v>1067</v>
      </c>
      <c r="B89" t="s">
        <v>71</v>
      </c>
      <c r="C89" t="s">
        <v>99</v>
      </c>
      <c r="D89">
        <v>26</v>
      </c>
      <c r="E89" s="3">
        <v>81198</v>
      </c>
      <c r="F89" t="s">
        <v>155</v>
      </c>
      <c r="G89" t="s">
        <v>209</v>
      </c>
      <c r="H89">
        <v>1</v>
      </c>
    </row>
    <row r="90" spans="1:8" x14ac:dyDescent="0.25">
      <c r="A90">
        <v>1091</v>
      </c>
      <c r="B90" t="s">
        <v>92</v>
      </c>
      <c r="C90" t="s">
        <v>104</v>
      </c>
      <c r="D90">
        <v>32</v>
      </c>
      <c r="E90" s="3">
        <v>81945</v>
      </c>
      <c r="F90" t="s">
        <v>160</v>
      </c>
      <c r="G90" t="s">
        <v>206</v>
      </c>
      <c r="H90">
        <v>5</v>
      </c>
    </row>
    <row r="91" spans="1:8" x14ac:dyDescent="0.25">
      <c r="A91">
        <v>1052</v>
      </c>
      <c r="B91" t="s">
        <v>56</v>
      </c>
      <c r="C91" t="s">
        <v>103</v>
      </c>
      <c r="D91">
        <v>52</v>
      </c>
      <c r="E91" s="3">
        <v>82018</v>
      </c>
      <c r="F91" t="s">
        <v>172</v>
      </c>
      <c r="G91" t="s">
        <v>207</v>
      </c>
      <c r="H91">
        <v>2</v>
      </c>
    </row>
    <row r="92" spans="1:8" x14ac:dyDescent="0.25">
      <c r="A92">
        <v>1016</v>
      </c>
      <c r="B92" t="s">
        <v>23</v>
      </c>
      <c r="C92" t="s">
        <v>99</v>
      </c>
      <c r="D92">
        <v>41</v>
      </c>
      <c r="E92" s="3">
        <v>85159</v>
      </c>
      <c r="F92" t="s">
        <v>164</v>
      </c>
      <c r="G92" t="s">
        <v>206</v>
      </c>
      <c r="H92">
        <v>5</v>
      </c>
    </row>
    <row r="93" spans="1:8" x14ac:dyDescent="0.25">
      <c r="A93">
        <v>1009</v>
      </c>
      <c r="B93" t="s">
        <v>16</v>
      </c>
      <c r="C93" t="s">
        <v>99</v>
      </c>
      <c r="D93">
        <v>42</v>
      </c>
      <c r="E93" s="3">
        <v>85237</v>
      </c>
      <c r="F93" t="s">
        <v>169</v>
      </c>
      <c r="G93" t="s">
        <v>209</v>
      </c>
      <c r="H93">
        <v>2</v>
      </c>
    </row>
    <row r="94" spans="1:8" x14ac:dyDescent="0.25">
      <c r="A94">
        <v>1056</v>
      </c>
      <c r="B94" t="s">
        <v>60</v>
      </c>
      <c r="C94" t="s">
        <v>104</v>
      </c>
      <c r="D94">
        <v>37</v>
      </c>
      <c r="E94" s="3">
        <v>85596</v>
      </c>
      <c r="F94" t="s">
        <v>141</v>
      </c>
      <c r="G94" t="s">
        <v>208</v>
      </c>
      <c r="H94">
        <v>2</v>
      </c>
    </row>
    <row r="95" spans="1:8" x14ac:dyDescent="0.25">
      <c r="A95">
        <v>1071</v>
      </c>
      <c r="B95" t="s">
        <v>75</v>
      </c>
      <c r="C95" t="s">
        <v>99</v>
      </c>
      <c r="D95">
        <v>41</v>
      </c>
      <c r="E95" s="3">
        <v>85724</v>
      </c>
      <c r="F95" t="s">
        <v>133</v>
      </c>
      <c r="G95" t="s">
        <v>206</v>
      </c>
      <c r="H95">
        <v>1</v>
      </c>
    </row>
    <row r="96" spans="1:8" x14ac:dyDescent="0.25">
      <c r="A96">
        <v>1097</v>
      </c>
      <c r="B96" t="s">
        <v>95</v>
      </c>
      <c r="C96" t="s">
        <v>104</v>
      </c>
      <c r="D96">
        <v>47</v>
      </c>
      <c r="E96" s="3">
        <v>86682</v>
      </c>
      <c r="F96" t="s">
        <v>134</v>
      </c>
      <c r="G96" t="s">
        <v>209</v>
      </c>
      <c r="H96">
        <v>5</v>
      </c>
    </row>
    <row r="97" spans="1:8" x14ac:dyDescent="0.25">
      <c r="A97">
        <v>1018</v>
      </c>
      <c r="B97" t="s">
        <v>25</v>
      </c>
      <c r="C97" t="s">
        <v>104</v>
      </c>
      <c r="D97">
        <v>37</v>
      </c>
      <c r="E97" s="3">
        <v>87541</v>
      </c>
      <c r="F97" t="s">
        <v>145</v>
      </c>
      <c r="G97" t="s">
        <v>209</v>
      </c>
      <c r="H97">
        <v>1</v>
      </c>
    </row>
    <row r="98" spans="1:8" x14ac:dyDescent="0.25">
      <c r="A98">
        <v>1041</v>
      </c>
      <c r="B98" t="s">
        <v>46</v>
      </c>
      <c r="C98" t="s">
        <v>101</v>
      </c>
      <c r="D98">
        <v>24</v>
      </c>
      <c r="E98" s="3">
        <v>88911</v>
      </c>
      <c r="F98" t="s">
        <v>186</v>
      </c>
      <c r="G98" t="s">
        <v>204</v>
      </c>
      <c r="H98">
        <v>2</v>
      </c>
    </row>
    <row r="99" spans="1:8" x14ac:dyDescent="0.25">
      <c r="A99">
        <v>1038</v>
      </c>
      <c r="B99" t="s">
        <v>43</v>
      </c>
      <c r="C99" t="s">
        <v>100</v>
      </c>
      <c r="D99">
        <v>38</v>
      </c>
      <c r="E99" s="3">
        <v>89332</v>
      </c>
      <c r="F99" t="s">
        <v>126</v>
      </c>
      <c r="G99" t="s">
        <v>209</v>
      </c>
      <c r="H99">
        <v>1</v>
      </c>
    </row>
    <row r="100" spans="1:8" x14ac:dyDescent="0.25">
      <c r="A100">
        <v>1022</v>
      </c>
      <c r="B100" t="s">
        <v>28</v>
      </c>
      <c r="C100" t="s">
        <v>102</v>
      </c>
      <c r="D100">
        <v>26</v>
      </c>
      <c r="E100" s="3">
        <v>89337</v>
      </c>
      <c r="F100" t="s">
        <v>118</v>
      </c>
      <c r="G100" t="s">
        <v>205</v>
      </c>
      <c r="H100">
        <v>1</v>
      </c>
    </row>
    <row r="101" spans="1:8" x14ac:dyDescent="0.25">
      <c r="A101">
        <v>1010</v>
      </c>
      <c r="B101" t="s">
        <v>17</v>
      </c>
      <c r="C101" t="s">
        <v>104</v>
      </c>
      <c r="D101">
        <v>35</v>
      </c>
      <c r="E101" s="3">
        <v>89843</v>
      </c>
      <c r="F101" t="s">
        <v>157</v>
      </c>
      <c r="G101" t="s">
        <v>207</v>
      </c>
      <c r="H101">
        <v>3</v>
      </c>
    </row>
  </sheetData>
  <sortState xmlns:xlrd2="http://schemas.microsoft.com/office/spreadsheetml/2017/richdata2" ref="F2:F101">
    <sortCondition ref="F2:F101"/>
  </sortState>
  <mergeCells count="9">
    <mergeCell ref="J17:O17"/>
    <mergeCell ref="J21:O21"/>
    <mergeCell ref="J13:O13"/>
    <mergeCell ref="J4:O4"/>
    <mergeCell ref="P3:Q3"/>
    <mergeCell ref="P4:Q4"/>
    <mergeCell ref="R3:V3"/>
    <mergeCell ref="J6:O11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E450-5CD2-4DD9-B286-9B3307F8FA9A}">
  <dimension ref="A1:O101"/>
  <sheetViews>
    <sheetView tabSelected="1" workbookViewId="0">
      <selection activeCell="J6" sqref="J6"/>
    </sheetView>
  </sheetViews>
  <sheetFormatPr defaultRowHeight="15" x14ac:dyDescent="0.25"/>
  <cols>
    <col min="1" max="1" width="13.85546875" customWidth="1"/>
    <col min="2" max="2" width="14.42578125" bestFit="1" customWidth="1"/>
    <col min="3" max="3" width="13.85546875" customWidth="1"/>
    <col min="4" max="4" width="6.5703125" customWidth="1"/>
    <col min="5" max="5" width="8.42578125" customWidth="1"/>
    <col min="6" max="6" width="13.5703125" customWidth="1"/>
    <col min="7" max="7" width="10.5703125" bestFit="1" customWidth="1"/>
    <col min="8" max="8" width="20.140625" customWidth="1"/>
  </cols>
  <sheetData>
    <row r="1" spans="1:1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15" x14ac:dyDescent="0.25">
      <c r="A2" s="7">
        <v>1028</v>
      </c>
      <c r="B2" s="7" t="s">
        <v>34</v>
      </c>
      <c r="C2" s="7" t="s">
        <v>102</v>
      </c>
      <c r="D2" s="7">
        <v>46</v>
      </c>
      <c r="E2" s="8">
        <v>30141</v>
      </c>
      <c r="F2" s="7" t="s">
        <v>124</v>
      </c>
      <c r="G2" s="7" t="s">
        <v>205</v>
      </c>
      <c r="H2" s="7">
        <v>4</v>
      </c>
    </row>
    <row r="3" spans="1:15" x14ac:dyDescent="0.25">
      <c r="A3">
        <v>1015</v>
      </c>
      <c r="B3" t="s">
        <v>22</v>
      </c>
      <c r="C3" t="s">
        <v>102</v>
      </c>
      <c r="D3">
        <v>51</v>
      </c>
      <c r="E3" s="3">
        <v>30212</v>
      </c>
      <c r="F3" t="s">
        <v>202</v>
      </c>
      <c r="G3" t="s">
        <v>207</v>
      </c>
      <c r="H3">
        <v>3</v>
      </c>
    </row>
    <row r="4" spans="1:15" x14ac:dyDescent="0.25">
      <c r="A4">
        <v>1062</v>
      </c>
      <c r="B4" t="s">
        <v>66</v>
      </c>
      <c r="C4" t="s">
        <v>100</v>
      </c>
      <c r="D4">
        <v>52</v>
      </c>
      <c r="E4" s="3">
        <v>30386</v>
      </c>
      <c r="F4" t="s">
        <v>125</v>
      </c>
      <c r="G4" t="s">
        <v>205</v>
      </c>
      <c r="H4">
        <v>4</v>
      </c>
    </row>
    <row r="5" spans="1:15" x14ac:dyDescent="0.25">
      <c r="A5">
        <v>1095</v>
      </c>
      <c r="B5" t="s">
        <v>88</v>
      </c>
      <c r="C5" t="s">
        <v>99</v>
      </c>
      <c r="D5">
        <v>53</v>
      </c>
      <c r="E5" s="3">
        <v>35979</v>
      </c>
      <c r="F5" t="s">
        <v>143</v>
      </c>
      <c r="G5" t="s">
        <v>205</v>
      </c>
      <c r="H5">
        <v>4</v>
      </c>
      <c r="L5" s="5" t="s">
        <v>217</v>
      </c>
      <c r="M5" s="5"/>
      <c r="N5" s="5"/>
      <c r="O5" s="5"/>
    </row>
    <row r="6" spans="1:15" x14ac:dyDescent="0.25">
      <c r="A6">
        <v>1078</v>
      </c>
      <c r="B6" t="s">
        <v>81</v>
      </c>
      <c r="C6" t="s">
        <v>100</v>
      </c>
      <c r="D6">
        <v>23</v>
      </c>
      <c r="E6" s="3">
        <v>36098</v>
      </c>
      <c r="F6" t="s">
        <v>168</v>
      </c>
      <c r="G6" t="s">
        <v>204</v>
      </c>
      <c r="H6">
        <v>4</v>
      </c>
      <c r="L6" s="5" t="s">
        <v>218</v>
      </c>
      <c r="M6" s="5"/>
      <c r="N6" s="5"/>
      <c r="O6" s="5"/>
    </row>
    <row r="7" spans="1:15" x14ac:dyDescent="0.25">
      <c r="A7">
        <v>1100</v>
      </c>
      <c r="B7" t="s">
        <v>98</v>
      </c>
      <c r="C7" t="s">
        <v>104</v>
      </c>
      <c r="D7">
        <v>48</v>
      </c>
      <c r="E7" s="3">
        <v>36108</v>
      </c>
      <c r="F7" t="s">
        <v>187</v>
      </c>
      <c r="G7" t="s">
        <v>209</v>
      </c>
      <c r="H7">
        <v>4</v>
      </c>
      <c r="L7" s="5" t="s">
        <v>219</v>
      </c>
      <c r="M7" s="5"/>
      <c r="N7" s="5"/>
      <c r="O7" s="5"/>
    </row>
    <row r="8" spans="1:15" x14ac:dyDescent="0.25">
      <c r="A8">
        <v>1027</v>
      </c>
      <c r="B8" t="s">
        <v>33</v>
      </c>
      <c r="C8" t="s">
        <v>99</v>
      </c>
      <c r="D8">
        <v>22</v>
      </c>
      <c r="E8" s="3">
        <v>36112</v>
      </c>
      <c r="F8" t="s">
        <v>117</v>
      </c>
      <c r="G8" t="s">
        <v>204</v>
      </c>
      <c r="H8">
        <v>2</v>
      </c>
      <c r="L8" s="5" t="s">
        <v>220</v>
      </c>
      <c r="M8" s="5"/>
      <c r="N8" s="5"/>
      <c r="O8" s="5"/>
    </row>
    <row r="9" spans="1:15" x14ac:dyDescent="0.25">
      <c r="A9">
        <v>1047</v>
      </c>
      <c r="B9" t="s">
        <v>48</v>
      </c>
      <c r="C9" t="s">
        <v>103</v>
      </c>
      <c r="D9">
        <v>54</v>
      </c>
      <c r="E9" s="3">
        <v>37578</v>
      </c>
      <c r="F9" t="s">
        <v>191</v>
      </c>
      <c r="G9" t="s">
        <v>206</v>
      </c>
      <c r="H9">
        <v>2</v>
      </c>
    </row>
    <row r="10" spans="1:15" x14ac:dyDescent="0.25">
      <c r="A10">
        <v>1080</v>
      </c>
      <c r="B10" t="s">
        <v>83</v>
      </c>
      <c r="C10" t="s">
        <v>101</v>
      </c>
      <c r="D10">
        <v>36</v>
      </c>
      <c r="E10" s="3">
        <v>37907</v>
      </c>
      <c r="F10" t="s">
        <v>135</v>
      </c>
      <c r="G10" t="s">
        <v>204</v>
      </c>
      <c r="H10">
        <v>3</v>
      </c>
    </row>
    <row r="11" spans="1:15" x14ac:dyDescent="0.25">
      <c r="A11">
        <v>1099</v>
      </c>
      <c r="B11" t="s">
        <v>97</v>
      </c>
      <c r="C11" t="s">
        <v>99</v>
      </c>
      <c r="D11">
        <v>53</v>
      </c>
      <c r="E11" s="3">
        <v>37957</v>
      </c>
      <c r="F11" t="s">
        <v>180</v>
      </c>
      <c r="G11" t="s">
        <v>207</v>
      </c>
      <c r="H11">
        <v>5</v>
      </c>
    </row>
    <row r="12" spans="1:15" x14ac:dyDescent="0.25">
      <c r="A12">
        <v>1068</v>
      </c>
      <c r="B12" t="s">
        <v>72</v>
      </c>
      <c r="C12" t="s">
        <v>102</v>
      </c>
      <c r="D12">
        <v>37</v>
      </c>
      <c r="E12" s="3">
        <v>38272</v>
      </c>
      <c r="F12" t="s">
        <v>196</v>
      </c>
      <c r="G12" t="s">
        <v>207</v>
      </c>
      <c r="H12">
        <v>1</v>
      </c>
    </row>
    <row r="13" spans="1:15" x14ac:dyDescent="0.25">
      <c r="A13">
        <v>1012</v>
      </c>
      <c r="B13" t="s">
        <v>19</v>
      </c>
      <c r="C13" t="s">
        <v>101</v>
      </c>
      <c r="D13">
        <v>36</v>
      </c>
      <c r="E13" s="3">
        <v>39065</v>
      </c>
      <c r="F13" t="s">
        <v>106</v>
      </c>
      <c r="G13" t="s">
        <v>208</v>
      </c>
      <c r="H13">
        <v>1</v>
      </c>
    </row>
    <row r="14" spans="1:15" x14ac:dyDescent="0.25">
      <c r="A14">
        <v>1085</v>
      </c>
      <c r="B14" t="s">
        <v>87</v>
      </c>
      <c r="C14" t="s">
        <v>103</v>
      </c>
      <c r="D14">
        <v>25</v>
      </c>
      <c r="E14" s="3">
        <v>39943</v>
      </c>
      <c r="F14" t="s">
        <v>139</v>
      </c>
      <c r="G14" t="s">
        <v>206</v>
      </c>
      <c r="H14">
        <v>3</v>
      </c>
    </row>
    <row r="15" spans="1:15" x14ac:dyDescent="0.25">
      <c r="A15">
        <v>1046</v>
      </c>
      <c r="B15" t="s">
        <v>51</v>
      </c>
      <c r="C15" t="s">
        <v>104</v>
      </c>
      <c r="D15">
        <v>38</v>
      </c>
      <c r="E15" s="3">
        <v>41702</v>
      </c>
      <c r="F15" t="s">
        <v>193</v>
      </c>
      <c r="G15" t="s">
        <v>205</v>
      </c>
      <c r="H15">
        <v>1</v>
      </c>
    </row>
    <row r="16" spans="1:15" x14ac:dyDescent="0.25">
      <c r="A16">
        <v>1065</v>
      </c>
      <c r="B16" t="s">
        <v>69</v>
      </c>
      <c r="C16" t="s">
        <v>102</v>
      </c>
      <c r="D16">
        <v>51</v>
      </c>
      <c r="E16" s="3">
        <v>41909</v>
      </c>
      <c r="F16" t="s">
        <v>159</v>
      </c>
      <c r="G16" t="s">
        <v>205</v>
      </c>
      <c r="H16">
        <v>4</v>
      </c>
    </row>
    <row r="17" spans="1:8" x14ac:dyDescent="0.25">
      <c r="A17">
        <v>1084</v>
      </c>
      <c r="B17" t="s">
        <v>81</v>
      </c>
      <c r="C17" t="s">
        <v>100</v>
      </c>
      <c r="D17">
        <v>43</v>
      </c>
      <c r="E17" s="3">
        <v>42082</v>
      </c>
      <c r="F17" t="s">
        <v>188</v>
      </c>
      <c r="G17" t="s">
        <v>205</v>
      </c>
      <c r="H17">
        <v>4</v>
      </c>
    </row>
    <row r="18" spans="1:8" x14ac:dyDescent="0.25">
      <c r="A18">
        <v>1077</v>
      </c>
      <c r="B18" t="s">
        <v>21</v>
      </c>
      <c r="C18" t="s">
        <v>104</v>
      </c>
      <c r="D18">
        <v>55</v>
      </c>
      <c r="E18" s="3">
        <v>42521</v>
      </c>
      <c r="F18" t="s">
        <v>146</v>
      </c>
      <c r="G18" t="s">
        <v>204</v>
      </c>
      <c r="H18">
        <v>4</v>
      </c>
    </row>
    <row r="19" spans="1:8" x14ac:dyDescent="0.25">
      <c r="A19">
        <v>1061</v>
      </c>
      <c r="B19" t="s">
        <v>65</v>
      </c>
      <c r="C19" t="s">
        <v>100</v>
      </c>
      <c r="D19">
        <v>25</v>
      </c>
      <c r="E19" s="3">
        <v>43555</v>
      </c>
      <c r="F19" t="s">
        <v>122</v>
      </c>
      <c r="G19" t="s">
        <v>208</v>
      </c>
      <c r="H19">
        <v>4</v>
      </c>
    </row>
    <row r="20" spans="1:8" x14ac:dyDescent="0.25">
      <c r="A20">
        <v>1076</v>
      </c>
      <c r="B20" t="s">
        <v>80</v>
      </c>
      <c r="C20" t="s">
        <v>102</v>
      </c>
      <c r="D20">
        <v>53</v>
      </c>
      <c r="E20" s="3">
        <v>43901</v>
      </c>
      <c r="F20" t="s">
        <v>110</v>
      </c>
      <c r="G20" t="s">
        <v>205</v>
      </c>
      <c r="H20">
        <v>3</v>
      </c>
    </row>
    <row r="21" spans="1:8" x14ac:dyDescent="0.25">
      <c r="A21">
        <v>1004</v>
      </c>
      <c r="B21" t="s">
        <v>11</v>
      </c>
      <c r="C21" t="s">
        <v>101</v>
      </c>
      <c r="D21">
        <v>31</v>
      </c>
      <c r="E21" s="3">
        <v>44110</v>
      </c>
      <c r="F21" t="s">
        <v>140</v>
      </c>
      <c r="G21" t="s">
        <v>205</v>
      </c>
      <c r="H21">
        <v>1</v>
      </c>
    </row>
    <row r="22" spans="1:8" x14ac:dyDescent="0.25">
      <c r="A22">
        <v>1033</v>
      </c>
      <c r="B22" t="s">
        <v>39</v>
      </c>
      <c r="C22" t="s">
        <v>99</v>
      </c>
      <c r="D22">
        <v>42</v>
      </c>
      <c r="E22" s="3">
        <v>45642</v>
      </c>
      <c r="F22" t="s">
        <v>132</v>
      </c>
      <c r="G22" t="s">
        <v>208</v>
      </c>
      <c r="H22">
        <v>2</v>
      </c>
    </row>
    <row r="23" spans="1:8" x14ac:dyDescent="0.25">
      <c r="A23">
        <v>1001</v>
      </c>
      <c r="B23" t="s">
        <v>8</v>
      </c>
      <c r="C23" t="s">
        <v>99</v>
      </c>
      <c r="D23">
        <v>39</v>
      </c>
      <c r="E23" s="3">
        <v>46049</v>
      </c>
      <c r="F23" t="s">
        <v>166</v>
      </c>
      <c r="G23" t="s">
        <v>204</v>
      </c>
      <c r="H23">
        <v>1</v>
      </c>
    </row>
    <row r="24" spans="1:8" x14ac:dyDescent="0.25">
      <c r="A24">
        <v>1011</v>
      </c>
      <c r="B24" t="s">
        <v>18</v>
      </c>
      <c r="C24" t="s">
        <v>101</v>
      </c>
      <c r="D24">
        <v>30</v>
      </c>
      <c r="E24" s="3">
        <v>46162</v>
      </c>
      <c r="F24" t="s">
        <v>105</v>
      </c>
      <c r="G24" t="s">
        <v>206</v>
      </c>
      <c r="H24">
        <v>5</v>
      </c>
    </row>
    <row r="25" spans="1:8" x14ac:dyDescent="0.25">
      <c r="A25">
        <v>1066</v>
      </c>
      <c r="B25" t="s">
        <v>70</v>
      </c>
      <c r="C25" t="s">
        <v>101</v>
      </c>
      <c r="D25">
        <v>38</v>
      </c>
      <c r="E25" s="3">
        <v>46532</v>
      </c>
      <c r="F25" t="s">
        <v>203</v>
      </c>
      <c r="G25" t="s">
        <v>209</v>
      </c>
      <c r="H25">
        <v>4</v>
      </c>
    </row>
    <row r="26" spans="1:8" x14ac:dyDescent="0.25">
      <c r="A26">
        <v>1092</v>
      </c>
      <c r="B26" t="s">
        <v>93</v>
      </c>
      <c r="C26" t="s">
        <v>99</v>
      </c>
      <c r="D26">
        <v>47</v>
      </c>
      <c r="E26" s="3">
        <v>47841</v>
      </c>
      <c r="F26" t="s">
        <v>129</v>
      </c>
      <c r="G26" t="s">
        <v>206</v>
      </c>
      <c r="H26">
        <v>4</v>
      </c>
    </row>
    <row r="27" spans="1:8" x14ac:dyDescent="0.25">
      <c r="A27">
        <v>1081</v>
      </c>
      <c r="B27" t="s">
        <v>84</v>
      </c>
      <c r="C27" t="s">
        <v>102</v>
      </c>
      <c r="D27">
        <v>52</v>
      </c>
      <c r="E27" s="3">
        <v>48120</v>
      </c>
      <c r="F27" t="s">
        <v>161</v>
      </c>
      <c r="G27" t="s">
        <v>206</v>
      </c>
      <c r="H27">
        <v>5</v>
      </c>
    </row>
    <row r="28" spans="1:8" x14ac:dyDescent="0.25">
      <c r="A28">
        <v>1089</v>
      </c>
      <c r="B28" t="s">
        <v>90</v>
      </c>
      <c r="C28" t="s">
        <v>104</v>
      </c>
      <c r="D28">
        <v>36</v>
      </c>
      <c r="E28" s="3">
        <v>48881</v>
      </c>
      <c r="F28" t="s">
        <v>142</v>
      </c>
      <c r="G28" t="s">
        <v>205</v>
      </c>
      <c r="H28">
        <v>4</v>
      </c>
    </row>
    <row r="29" spans="1:8" x14ac:dyDescent="0.25">
      <c r="A29">
        <v>1096</v>
      </c>
      <c r="B29" t="s">
        <v>94</v>
      </c>
      <c r="C29" t="s">
        <v>100</v>
      </c>
      <c r="D29">
        <v>38</v>
      </c>
      <c r="E29" s="3">
        <v>48888</v>
      </c>
      <c r="F29" t="s">
        <v>136</v>
      </c>
      <c r="G29" t="s">
        <v>208</v>
      </c>
      <c r="H29">
        <v>5</v>
      </c>
    </row>
    <row r="30" spans="1:8" x14ac:dyDescent="0.25">
      <c r="A30">
        <v>1029</v>
      </c>
      <c r="B30" t="s">
        <v>35</v>
      </c>
      <c r="C30" t="s">
        <v>102</v>
      </c>
      <c r="D30">
        <v>34</v>
      </c>
      <c r="E30" s="3">
        <v>49445</v>
      </c>
      <c r="F30" t="s">
        <v>111</v>
      </c>
      <c r="G30" t="s">
        <v>209</v>
      </c>
      <c r="H30">
        <v>5</v>
      </c>
    </row>
    <row r="31" spans="1:8" x14ac:dyDescent="0.25">
      <c r="A31" s="7">
        <v>1021</v>
      </c>
      <c r="B31" s="7" t="s">
        <v>27</v>
      </c>
      <c r="C31" s="7" t="s">
        <v>102</v>
      </c>
      <c r="D31" s="7">
        <v>26</v>
      </c>
      <c r="E31" s="8">
        <v>52156</v>
      </c>
      <c r="F31" t="s">
        <v>138</v>
      </c>
      <c r="G31" s="7" t="s">
        <v>206</v>
      </c>
      <c r="H31" s="7">
        <v>5</v>
      </c>
    </row>
    <row r="32" spans="1:8" x14ac:dyDescent="0.25">
      <c r="A32">
        <v>1079</v>
      </c>
      <c r="B32" t="s">
        <v>82</v>
      </c>
      <c r="C32" t="s">
        <v>100</v>
      </c>
      <c r="D32">
        <v>55</v>
      </c>
      <c r="E32" s="3">
        <v>52528</v>
      </c>
      <c r="F32" t="s">
        <v>162</v>
      </c>
      <c r="G32" t="s">
        <v>207</v>
      </c>
      <c r="H32">
        <v>5</v>
      </c>
    </row>
    <row r="33" spans="1:8" x14ac:dyDescent="0.25">
      <c r="A33">
        <v>1044</v>
      </c>
      <c r="B33" t="s">
        <v>49</v>
      </c>
      <c r="C33" t="s">
        <v>102</v>
      </c>
      <c r="D33">
        <v>38</v>
      </c>
      <c r="E33" s="3">
        <v>52915</v>
      </c>
      <c r="F33" t="s">
        <v>181</v>
      </c>
      <c r="G33" t="s">
        <v>204</v>
      </c>
      <c r="H33">
        <v>2</v>
      </c>
    </row>
    <row r="34" spans="1:8" x14ac:dyDescent="0.25">
      <c r="A34">
        <v>1045</v>
      </c>
      <c r="B34" t="s">
        <v>50</v>
      </c>
      <c r="C34" t="s">
        <v>104</v>
      </c>
      <c r="D34">
        <v>39</v>
      </c>
      <c r="E34" s="3">
        <v>53012</v>
      </c>
      <c r="F34" t="s">
        <v>185</v>
      </c>
      <c r="G34" t="s">
        <v>206</v>
      </c>
      <c r="H34">
        <v>4</v>
      </c>
    </row>
    <row r="35" spans="1:8" x14ac:dyDescent="0.25">
      <c r="A35">
        <v>1073</v>
      </c>
      <c r="B35" t="s">
        <v>77</v>
      </c>
      <c r="C35" t="s">
        <v>104</v>
      </c>
      <c r="D35">
        <v>49</v>
      </c>
      <c r="E35" s="3">
        <v>53736</v>
      </c>
      <c r="F35" t="s">
        <v>147</v>
      </c>
      <c r="G35" t="s">
        <v>208</v>
      </c>
      <c r="H35">
        <v>2</v>
      </c>
    </row>
    <row r="36" spans="1:8" x14ac:dyDescent="0.25">
      <c r="A36">
        <v>1048</v>
      </c>
      <c r="B36" t="s">
        <v>52</v>
      </c>
      <c r="C36" t="s">
        <v>103</v>
      </c>
      <c r="D36">
        <v>34</v>
      </c>
      <c r="E36" s="3">
        <v>53869</v>
      </c>
      <c r="F36" t="s">
        <v>194</v>
      </c>
      <c r="G36" t="s">
        <v>209</v>
      </c>
      <c r="H36">
        <v>3</v>
      </c>
    </row>
    <row r="37" spans="1:8" x14ac:dyDescent="0.25">
      <c r="A37">
        <v>1035</v>
      </c>
      <c r="B37" t="s">
        <v>41</v>
      </c>
      <c r="C37" t="s">
        <v>104</v>
      </c>
      <c r="D37">
        <v>37</v>
      </c>
      <c r="E37" s="3">
        <v>54217</v>
      </c>
      <c r="F37" t="s">
        <v>156</v>
      </c>
      <c r="G37" t="s">
        <v>204</v>
      </c>
      <c r="H37">
        <v>4</v>
      </c>
    </row>
    <row r="38" spans="1:8" x14ac:dyDescent="0.25">
      <c r="A38">
        <v>1007</v>
      </c>
      <c r="B38" t="s">
        <v>14</v>
      </c>
      <c r="C38" t="s">
        <v>102</v>
      </c>
      <c r="D38">
        <v>28</v>
      </c>
      <c r="E38" s="3">
        <v>54911</v>
      </c>
      <c r="F38" t="s">
        <v>123</v>
      </c>
      <c r="G38" t="s">
        <v>208</v>
      </c>
      <c r="H38">
        <v>3</v>
      </c>
    </row>
    <row r="39" spans="1:8" x14ac:dyDescent="0.25">
      <c r="A39">
        <v>1060</v>
      </c>
      <c r="B39" t="s">
        <v>64</v>
      </c>
      <c r="C39" t="s">
        <v>102</v>
      </c>
      <c r="D39">
        <v>36</v>
      </c>
      <c r="E39" s="3">
        <v>55102</v>
      </c>
      <c r="F39" t="s">
        <v>121</v>
      </c>
      <c r="G39" t="s">
        <v>204</v>
      </c>
      <c r="H39">
        <v>2</v>
      </c>
    </row>
    <row r="40" spans="1:8" x14ac:dyDescent="0.25">
      <c r="A40">
        <v>1070</v>
      </c>
      <c r="B40" t="s">
        <v>74</v>
      </c>
      <c r="C40" t="s">
        <v>99</v>
      </c>
      <c r="D40">
        <v>46</v>
      </c>
      <c r="E40" s="3">
        <v>55995</v>
      </c>
      <c r="F40" t="s">
        <v>128</v>
      </c>
      <c r="G40" t="s">
        <v>204</v>
      </c>
      <c r="H40">
        <v>1</v>
      </c>
    </row>
    <row r="41" spans="1:8" x14ac:dyDescent="0.25">
      <c r="A41">
        <v>1054</v>
      </c>
      <c r="B41" t="s">
        <v>58</v>
      </c>
      <c r="C41" t="s">
        <v>104</v>
      </c>
      <c r="D41">
        <v>51</v>
      </c>
      <c r="E41" s="3">
        <v>57160</v>
      </c>
      <c r="F41" t="s">
        <v>165</v>
      </c>
      <c r="G41" t="s">
        <v>207</v>
      </c>
      <c r="H41">
        <v>5</v>
      </c>
    </row>
    <row r="42" spans="1:8" x14ac:dyDescent="0.25">
      <c r="A42">
        <v>1090</v>
      </c>
      <c r="B42" t="s">
        <v>91</v>
      </c>
      <c r="C42" t="s">
        <v>99</v>
      </c>
      <c r="D42">
        <v>34</v>
      </c>
      <c r="E42" s="3">
        <v>57861</v>
      </c>
      <c r="F42" t="s">
        <v>179</v>
      </c>
      <c r="G42" t="s">
        <v>206</v>
      </c>
      <c r="H42">
        <v>2</v>
      </c>
    </row>
    <row r="43" spans="1:8" x14ac:dyDescent="0.25">
      <c r="A43">
        <v>1051</v>
      </c>
      <c r="B43" t="s">
        <v>55</v>
      </c>
      <c r="C43" t="s">
        <v>101</v>
      </c>
      <c r="D43">
        <v>35</v>
      </c>
      <c r="E43" s="3">
        <v>58173</v>
      </c>
      <c r="F43" t="s">
        <v>144</v>
      </c>
      <c r="G43" t="s">
        <v>206</v>
      </c>
      <c r="H43">
        <v>5</v>
      </c>
    </row>
    <row r="44" spans="1:8" x14ac:dyDescent="0.25">
      <c r="A44">
        <v>1003</v>
      </c>
      <c r="B44" t="s">
        <v>10</v>
      </c>
      <c r="C44" t="s">
        <v>100</v>
      </c>
      <c r="D44">
        <v>36</v>
      </c>
      <c r="E44" s="3">
        <v>59439</v>
      </c>
      <c r="F44" t="s">
        <v>175</v>
      </c>
      <c r="G44" t="s">
        <v>205</v>
      </c>
      <c r="H44">
        <v>1</v>
      </c>
    </row>
    <row r="45" spans="1:8" x14ac:dyDescent="0.25">
      <c r="A45">
        <v>1058</v>
      </c>
      <c r="B45" t="s">
        <v>62</v>
      </c>
      <c r="C45" t="s">
        <v>99</v>
      </c>
      <c r="D45">
        <v>52</v>
      </c>
      <c r="E45" s="3">
        <v>59495</v>
      </c>
      <c r="F45" t="s">
        <v>150</v>
      </c>
      <c r="G45" t="s">
        <v>204</v>
      </c>
      <c r="H45">
        <v>3</v>
      </c>
    </row>
    <row r="46" spans="1:8" x14ac:dyDescent="0.25">
      <c r="A46">
        <v>1026</v>
      </c>
      <c r="B46" t="s">
        <v>32</v>
      </c>
      <c r="C46" t="s">
        <v>102</v>
      </c>
      <c r="D46">
        <v>39</v>
      </c>
      <c r="E46" s="3">
        <v>60318</v>
      </c>
      <c r="F46" t="s">
        <v>131</v>
      </c>
      <c r="G46" t="s">
        <v>209</v>
      </c>
      <c r="H46">
        <v>4</v>
      </c>
    </row>
    <row r="47" spans="1:8" x14ac:dyDescent="0.25">
      <c r="A47">
        <v>1074</v>
      </c>
      <c r="B47" t="s">
        <v>78</v>
      </c>
      <c r="C47" t="s">
        <v>103</v>
      </c>
      <c r="D47">
        <v>52</v>
      </c>
      <c r="E47" s="3">
        <v>60465</v>
      </c>
      <c r="F47" t="s">
        <v>152</v>
      </c>
      <c r="G47" t="s">
        <v>207</v>
      </c>
      <c r="H47">
        <v>5</v>
      </c>
    </row>
    <row r="48" spans="1:8" x14ac:dyDescent="0.25">
      <c r="A48">
        <v>1094</v>
      </c>
      <c r="B48" t="s">
        <v>91</v>
      </c>
      <c r="C48" t="s">
        <v>104</v>
      </c>
      <c r="D48">
        <v>33</v>
      </c>
      <c r="E48" s="3">
        <v>60834</v>
      </c>
      <c r="F48" t="s">
        <v>182</v>
      </c>
      <c r="G48" t="s">
        <v>207</v>
      </c>
      <c r="H48">
        <v>4</v>
      </c>
    </row>
    <row r="49" spans="1:8" x14ac:dyDescent="0.25">
      <c r="A49">
        <v>1072</v>
      </c>
      <c r="B49" t="s">
        <v>76</v>
      </c>
      <c r="C49" t="s">
        <v>103</v>
      </c>
      <c r="D49">
        <v>49</v>
      </c>
      <c r="E49" s="3">
        <v>61058</v>
      </c>
      <c r="F49" t="s">
        <v>127</v>
      </c>
      <c r="G49" t="s">
        <v>209</v>
      </c>
      <c r="H49">
        <v>5</v>
      </c>
    </row>
    <row r="50" spans="1:8" x14ac:dyDescent="0.25">
      <c r="A50">
        <v>1082</v>
      </c>
      <c r="B50" t="s">
        <v>85</v>
      </c>
      <c r="C50" t="s">
        <v>102</v>
      </c>
      <c r="D50">
        <v>45</v>
      </c>
      <c r="E50" s="3">
        <v>61058</v>
      </c>
      <c r="F50" t="s">
        <v>151</v>
      </c>
      <c r="G50" t="s">
        <v>209</v>
      </c>
      <c r="H50">
        <v>5</v>
      </c>
    </row>
    <row r="51" spans="1:8" x14ac:dyDescent="0.25">
      <c r="A51">
        <v>1093</v>
      </c>
      <c r="B51" t="s">
        <v>11</v>
      </c>
      <c r="C51" t="s">
        <v>103</v>
      </c>
      <c r="D51">
        <v>38</v>
      </c>
      <c r="E51" s="3">
        <v>61058</v>
      </c>
      <c r="F51" t="s">
        <v>177</v>
      </c>
      <c r="G51" t="s">
        <v>204</v>
      </c>
      <c r="H51">
        <v>5</v>
      </c>
    </row>
    <row r="52" spans="1:8" x14ac:dyDescent="0.25">
      <c r="A52">
        <v>1069</v>
      </c>
      <c r="B52" t="s">
        <v>73</v>
      </c>
      <c r="C52" t="s">
        <v>102</v>
      </c>
      <c r="D52">
        <v>29</v>
      </c>
      <c r="E52" s="3">
        <v>61058</v>
      </c>
      <c r="F52" t="s">
        <v>201</v>
      </c>
      <c r="G52" t="s">
        <v>204</v>
      </c>
      <c r="H52">
        <v>3</v>
      </c>
    </row>
    <row r="53" spans="1:8" x14ac:dyDescent="0.25">
      <c r="A53">
        <v>1002</v>
      </c>
      <c r="B53" t="s">
        <v>9</v>
      </c>
      <c r="C53" t="s">
        <v>100</v>
      </c>
      <c r="D53">
        <v>24</v>
      </c>
      <c r="E53" s="3">
        <v>61058</v>
      </c>
      <c r="F53" t="s">
        <v>109</v>
      </c>
      <c r="G53" t="s">
        <v>204</v>
      </c>
      <c r="H53">
        <v>2</v>
      </c>
    </row>
    <row r="54" spans="1:8" x14ac:dyDescent="0.25">
      <c r="A54">
        <v>1042</v>
      </c>
      <c r="B54" t="s">
        <v>47</v>
      </c>
      <c r="C54" t="s">
        <v>103</v>
      </c>
      <c r="D54">
        <v>31</v>
      </c>
      <c r="E54" s="3">
        <v>61058</v>
      </c>
      <c r="F54" t="s">
        <v>178</v>
      </c>
      <c r="G54" t="s">
        <v>204</v>
      </c>
      <c r="H54">
        <v>2</v>
      </c>
    </row>
    <row r="55" spans="1:8" x14ac:dyDescent="0.25">
      <c r="A55">
        <v>1053</v>
      </c>
      <c r="B55" t="s">
        <v>57</v>
      </c>
      <c r="C55" t="s">
        <v>104</v>
      </c>
      <c r="D55">
        <v>37</v>
      </c>
      <c r="E55" s="3">
        <v>61058</v>
      </c>
      <c r="F55" t="s">
        <v>198</v>
      </c>
      <c r="G55" t="s">
        <v>204</v>
      </c>
      <c r="H55">
        <v>2</v>
      </c>
    </row>
    <row r="56" spans="1:8" x14ac:dyDescent="0.25">
      <c r="A56">
        <v>1043</v>
      </c>
      <c r="B56" t="s">
        <v>48</v>
      </c>
      <c r="C56" t="s">
        <v>99</v>
      </c>
      <c r="D56">
        <v>37</v>
      </c>
      <c r="E56" s="3">
        <v>61058</v>
      </c>
      <c r="F56" t="s">
        <v>171</v>
      </c>
      <c r="G56" t="s">
        <v>207</v>
      </c>
      <c r="H56">
        <v>1</v>
      </c>
    </row>
    <row r="57" spans="1:8" x14ac:dyDescent="0.25">
      <c r="A57">
        <v>1063</v>
      </c>
      <c r="B57" t="s">
        <v>67</v>
      </c>
      <c r="C57" t="s">
        <v>99</v>
      </c>
      <c r="D57">
        <v>36</v>
      </c>
      <c r="E57" s="3">
        <v>61996</v>
      </c>
      <c r="F57" t="s">
        <v>195</v>
      </c>
      <c r="G57" t="s">
        <v>205</v>
      </c>
      <c r="H57">
        <v>4</v>
      </c>
    </row>
    <row r="58" spans="1:8" x14ac:dyDescent="0.25">
      <c r="A58">
        <v>1030</v>
      </c>
      <c r="B58" t="s">
        <v>36</v>
      </c>
      <c r="C58" t="s">
        <v>104</v>
      </c>
      <c r="D58">
        <v>52</v>
      </c>
      <c r="E58" s="3">
        <v>62954</v>
      </c>
      <c r="F58" t="s">
        <v>116</v>
      </c>
      <c r="G58" t="s">
        <v>206</v>
      </c>
      <c r="H58">
        <v>2</v>
      </c>
    </row>
    <row r="59" spans="1:8" x14ac:dyDescent="0.25">
      <c r="A59">
        <v>1008</v>
      </c>
      <c r="B59" t="s">
        <v>15</v>
      </c>
      <c r="C59" t="s">
        <v>103</v>
      </c>
      <c r="D59">
        <v>32</v>
      </c>
      <c r="E59" s="3">
        <v>65005</v>
      </c>
      <c r="F59" t="s">
        <v>200</v>
      </c>
      <c r="G59" t="s">
        <v>204</v>
      </c>
      <c r="H59">
        <v>2</v>
      </c>
    </row>
    <row r="60" spans="1:8" x14ac:dyDescent="0.25">
      <c r="A60">
        <v>1040</v>
      </c>
      <c r="B60" t="s">
        <v>45</v>
      </c>
      <c r="C60" t="s">
        <v>104</v>
      </c>
      <c r="D60">
        <v>31</v>
      </c>
      <c r="E60" s="3">
        <v>65755</v>
      </c>
      <c r="F60" t="s">
        <v>197</v>
      </c>
      <c r="G60" t="s">
        <v>205</v>
      </c>
      <c r="H60">
        <v>5</v>
      </c>
    </row>
    <row r="61" spans="1:8" x14ac:dyDescent="0.25">
      <c r="A61">
        <v>1019</v>
      </c>
      <c r="B61" t="s">
        <v>26</v>
      </c>
      <c r="C61" t="s">
        <v>102</v>
      </c>
      <c r="D61">
        <v>52</v>
      </c>
      <c r="E61" s="3">
        <v>66031</v>
      </c>
      <c r="F61" t="s">
        <v>189</v>
      </c>
      <c r="G61" t="s">
        <v>205</v>
      </c>
      <c r="H61">
        <v>5</v>
      </c>
    </row>
    <row r="62" spans="1:8" x14ac:dyDescent="0.25">
      <c r="A62">
        <v>1088</v>
      </c>
      <c r="B62" t="s">
        <v>89</v>
      </c>
      <c r="C62" t="s">
        <v>102</v>
      </c>
      <c r="D62">
        <v>33</v>
      </c>
      <c r="E62" s="3">
        <v>66175</v>
      </c>
      <c r="F62" t="s">
        <v>167</v>
      </c>
      <c r="G62" t="s">
        <v>204</v>
      </c>
      <c r="H62">
        <v>1</v>
      </c>
    </row>
    <row r="63" spans="1:8" x14ac:dyDescent="0.25">
      <c r="A63">
        <v>1006</v>
      </c>
      <c r="B63" t="s">
        <v>13</v>
      </c>
      <c r="C63" t="s">
        <v>99</v>
      </c>
      <c r="D63">
        <v>38</v>
      </c>
      <c r="E63" s="3">
        <v>67837</v>
      </c>
      <c r="F63" t="s">
        <v>137</v>
      </c>
      <c r="G63" t="s">
        <v>207</v>
      </c>
      <c r="H63">
        <v>1</v>
      </c>
    </row>
    <row r="64" spans="1:8" x14ac:dyDescent="0.25">
      <c r="A64">
        <v>1013</v>
      </c>
      <c r="B64" t="s">
        <v>20</v>
      </c>
      <c r="C64" t="s">
        <v>99</v>
      </c>
      <c r="D64">
        <v>49</v>
      </c>
      <c r="E64" s="3">
        <v>69086</v>
      </c>
      <c r="F64" t="s">
        <v>114</v>
      </c>
      <c r="G64" t="s">
        <v>208</v>
      </c>
      <c r="H64">
        <v>4</v>
      </c>
    </row>
    <row r="65" spans="1:8" x14ac:dyDescent="0.25">
      <c r="A65">
        <v>1017</v>
      </c>
      <c r="B65" t="s">
        <v>24</v>
      </c>
      <c r="C65" t="s">
        <v>103</v>
      </c>
      <c r="D65">
        <v>22</v>
      </c>
      <c r="E65" s="3">
        <v>69252</v>
      </c>
      <c r="F65" t="s">
        <v>114</v>
      </c>
      <c r="G65" t="s">
        <v>208</v>
      </c>
      <c r="H65">
        <v>1</v>
      </c>
    </row>
    <row r="66" spans="1:8" x14ac:dyDescent="0.25">
      <c r="A66">
        <v>1037</v>
      </c>
      <c r="B66" t="s">
        <v>26</v>
      </c>
      <c r="C66" t="s">
        <v>101</v>
      </c>
      <c r="D66">
        <v>40</v>
      </c>
      <c r="E66" s="3">
        <v>69638</v>
      </c>
      <c r="F66" t="s">
        <v>149</v>
      </c>
      <c r="G66" t="s">
        <v>207</v>
      </c>
      <c r="H66">
        <v>3</v>
      </c>
    </row>
    <row r="67" spans="1:8" x14ac:dyDescent="0.25">
      <c r="A67">
        <v>1087</v>
      </c>
      <c r="B67" t="s">
        <v>88</v>
      </c>
      <c r="C67" t="s">
        <v>101</v>
      </c>
      <c r="D67">
        <v>25</v>
      </c>
      <c r="E67" s="3">
        <v>69952</v>
      </c>
      <c r="F67" t="s">
        <v>107</v>
      </c>
      <c r="G67" t="s">
        <v>209</v>
      </c>
      <c r="H67">
        <v>2</v>
      </c>
    </row>
    <row r="68" spans="1:8" x14ac:dyDescent="0.25">
      <c r="A68">
        <v>1057</v>
      </c>
      <c r="B68" t="s">
        <v>61</v>
      </c>
      <c r="C68" t="s">
        <v>101</v>
      </c>
      <c r="D68">
        <v>50</v>
      </c>
      <c r="E68" s="3">
        <v>70150</v>
      </c>
      <c r="F68" t="s">
        <v>176</v>
      </c>
      <c r="G68" t="s">
        <v>207</v>
      </c>
      <c r="H68">
        <v>5</v>
      </c>
    </row>
    <row r="69" spans="1:8" x14ac:dyDescent="0.25">
      <c r="A69">
        <v>1032</v>
      </c>
      <c r="B69" t="s">
        <v>38</v>
      </c>
      <c r="C69" t="s">
        <v>103</v>
      </c>
      <c r="D69">
        <v>24</v>
      </c>
      <c r="E69" s="3">
        <v>70591</v>
      </c>
      <c r="F69" t="s">
        <v>120</v>
      </c>
      <c r="G69" t="s">
        <v>208</v>
      </c>
      <c r="H69">
        <v>5</v>
      </c>
    </row>
    <row r="70" spans="1:8" x14ac:dyDescent="0.25">
      <c r="A70">
        <v>1034</v>
      </c>
      <c r="B70" t="s">
        <v>40</v>
      </c>
      <c r="C70" t="s">
        <v>104</v>
      </c>
      <c r="D70">
        <v>51</v>
      </c>
      <c r="E70" s="3">
        <v>70708</v>
      </c>
      <c r="F70" t="s">
        <v>148</v>
      </c>
      <c r="G70" t="s">
        <v>209</v>
      </c>
      <c r="H70">
        <v>1</v>
      </c>
    </row>
    <row r="71" spans="1:8" x14ac:dyDescent="0.25">
      <c r="A71">
        <v>1064</v>
      </c>
      <c r="B71" t="s">
        <v>68</v>
      </c>
      <c r="C71" t="s">
        <v>100</v>
      </c>
      <c r="D71">
        <v>30</v>
      </c>
      <c r="E71" s="3">
        <v>70780</v>
      </c>
      <c r="F71" t="s">
        <v>170</v>
      </c>
      <c r="G71" t="s">
        <v>209</v>
      </c>
      <c r="H71">
        <v>4</v>
      </c>
    </row>
    <row r="72" spans="1:8" x14ac:dyDescent="0.25">
      <c r="A72">
        <v>1098</v>
      </c>
      <c r="B72" t="s">
        <v>96</v>
      </c>
      <c r="C72" t="s">
        <v>103</v>
      </c>
      <c r="D72">
        <v>53</v>
      </c>
      <c r="E72" s="3">
        <v>70986</v>
      </c>
      <c r="F72" t="s">
        <v>199</v>
      </c>
      <c r="G72" t="s">
        <v>209</v>
      </c>
      <c r="H72">
        <v>2</v>
      </c>
    </row>
    <row r="73" spans="1:8" x14ac:dyDescent="0.25">
      <c r="A73">
        <v>1039</v>
      </c>
      <c r="B73" t="s">
        <v>44</v>
      </c>
      <c r="C73" t="s">
        <v>101</v>
      </c>
      <c r="D73">
        <v>30</v>
      </c>
      <c r="E73" s="3">
        <v>71753</v>
      </c>
      <c r="F73" t="s">
        <v>174</v>
      </c>
      <c r="G73" t="s">
        <v>204</v>
      </c>
      <c r="H73">
        <v>4</v>
      </c>
    </row>
    <row r="74" spans="1:8" x14ac:dyDescent="0.25">
      <c r="A74">
        <v>1083</v>
      </c>
      <c r="B74" t="s">
        <v>86</v>
      </c>
      <c r="C74" t="s">
        <v>101</v>
      </c>
      <c r="D74">
        <v>30</v>
      </c>
      <c r="E74" s="3">
        <v>71803</v>
      </c>
      <c r="F74" t="s">
        <v>158</v>
      </c>
      <c r="G74" t="s">
        <v>208</v>
      </c>
      <c r="H74">
        <v>1</v>
      </c>
    </row>
    <row r="75" spans="1:8" x14ac:dyDescent="0.25">
      <c r="A75">
        <v>1055</v>
      </c>
      <c r="B75" t="s">
        <v>59</v>
      </c>
      <c r="C75" t="s">
        <v>102</v>
      </c>
      <c r="D75">
        <v>31</v>
      </c>
      <c r="E75" s="3">
        <v>72995</v>
      </c>
      <c r="F75" t="s">
        <v>163</v>
      </c>
      <c r="G75" t="s">
        <v>209</v>
      </c>
      <c r="H75">
        <v>1</v>
      </c>
    </row>
    <row r="76" spans="1:8" x14ac:dyDescent="0.25">
      <c r="A76">
        <v>1024</v>
      </c>
      <c r="B76" t="s">
        <v>30</v>
      </c>
      <c r="C76" t="s">
        <v>104</v>
      </c>
      <c r="D76">
        <v>28</v>
      </c>
      <c r="E76" s="3">
        <v>73187</v>
      </c>
      <c r="F76" t="s">
        <v>192</v>
      </c>
      <c r="G76" t="s">
        <v>205</v>
      </c>
      <c r="H76">
        <v>4</v>
      </c>
    </row>
    <row r="77" spans="1:8" x14ac:dyDescent="0.25">
      <c r="A77">
        <v>1036</v>
      </c>
      <c r="B77" t="s">
        <v>42</v>
      </c>
      <c r="C77" t="s">
        <v>104</v>
      </c>
      <c r="D77">
        <v>41</v>
      </c>
      <c r="E77" s="3">
        <v>73475</v>
      </c>
      <c r="F77" t="s">
        <v>173</v>
      </c>
      <c r="G77" t="s">
        <v>204</v>
      </c>
      <c r="H77">
        <v>3</v>
      </c>
    </row>
    <row r="78" spans="1:8" x14ac:dyDescent="0.25">
      <c r="A78">
        <v>1049</v>
      </c>
      <c r="B78" t="s">
        <v>53</v>
      </c>
      <c r="C78" t="s">
        <v>103</v>
      </c>
      <c r="D78">
        <v>41</v>
      </c>
      <c r="E78" s="3">
        <v>73705</v>
      </c>
      <c r="F78" t="s">
        <v>183</v>
      </c>
      <c r="G78" t="s">
        <v>205</v>
      </c>
      <c r="H78">
        <v>4</v>
      </c>
    </row>
    <row r="79" spans="1:8" x14ac:dyDescent="0.25">
      <c r="A79">
        <v>1031</v>
      </c>
      <c r="B79" t="s">
        <v>37</v>
      </c>
      <c r="C79" t="s">
        <v>103</v>
      </c>
      <c r="D79">
        <v>26</v>
      </c>
      <c r="E79" s="3">
        <v>74250</v>
      </c>
      <c r="F79" t="s">
        <v>119</v>
      </c>
      <c r="G79" t="s">
        <v>204</v>
      </c>
      <c r="H79">
        <v>4</v>
      </c>
    </row>
    <row r="80" spans="1:8" x14ac:dyDescent="0.25">
      <c r="A80">
        <v>1050</v>
      </c>
      <c r="B80" t="s">
        <v>54</v>
      </c>
      <c r="C80" t="s">
        <v>99</v>
      </c>
      <c r="D80">
        <v>46</v>
      </c>
      <c r="E80" s="3">
        <v>74388</v>
      </c>
      <c r="F80" t="s">
        <v>184</v>
      </c>
      <c r="G80" t="s">
        <v>204</v>
      </c>
      <c r="H80">
        <v>5</v>
      </c>
    </row>
    <row r="81" spans="1:8" x14ac:dyDescent="0.25">
      <c r="A81">
        <v>1014</v>
      </c>
      <c r="B81" t="s">
        <v>21</v>
      </c>
      <c r="C81" t="s">
        <v>104</v>
      </c>
      <c r="D81">
        <v>29</v>
      </c>
      <c r="E81" s="3">
        <v>74676</v>
      </c>
      <c r="F81" t="s">
        <v>112</v>
      </c>
      <c r="G81" t="s">
        <v>206</v>
      </c>
      <c r="H81">
        <v>3</v>
      </c>
    </row>
    <row r="82" spans="1:8" x14ac:dyDescent="0.25">
      <c r="A82">
        <v>1020</v>
      </c>
      <c r="B82" t="s">
        <v>10</v>
      </c>
      <c r="C82" t="s">
        <v>99</v>
      </c>
      <c r="D82">
        <v>34</v>
      </c>
      <c r="E82" s="3">
        <v>76723</v>
      </c>
      <c r="F82" t="s">
        <v>190</v>
      </c>
      <c r="G82" t="s">
        <v>208</v>
      </c>
      <c r="H82">
        <v>3</v>
      </c>
    </row>
    <row r="83" spans="1:8" x14ac:dyDescent="0.25">
      <c r="A83">
        <v>1059</v>
      </c>
      <c r="B83" t="s">
        <v>63</v>
      </c>
      <c r="C83" t="s">
        <v>100</v>
      </c>
      <c r="D83">
        <v>26</v>
      </c>
      <c r="E83" s="3">
        <v>76762</v>
      </c>
      <c r="F83" t="s">
        <v>115</v>
      </c>
      <c r="G83" t="s">
        <v>204</v>
      </c>
      <c r="H83">
        <v>3</v>
      </c>
    </row>
    <row r="84" spans="1:8" x14ac:dyDescent="0.25">
      <c r="A84">
        <v>1023</v>
      </c>
      <c r="B84" t="s">
        <v>29</v>
      </c>
      <c r="C84" t="s">
        <v>103</v>
      </c>
      <c r="D84">
        <v>30</v>
      </c>
      <c r="E84" s="3">
        <v>77405</v>
      </c>
      <c r="F84" t="s">
        <v>153</v>
      </c>
      <c r="G84" t="s">
        <v>206</v>
      </c>
      <c r="H84">
        <v>5</v>
      </c>
    </row>
    <row r="85" spans="1:8" x14ac:dyDescent="0.25">
      <c r="A85">
        <v>1025</v>
      </c>
      <c r="B85" t="s">
        <v>31</v>
      </c>
      <c r="C85" t="s">
        <v>104</v>
      </c>
      <c r="D85">
        <v>47</v>
      </c>
      <c r="E85" s="3">
        <v>77724</v>
      </c>
      <c r="F85" t="s">
        <v>130</v>
      </c>
      <c r="G85" t="s">
        <v>209</v>
      </c>
      <c r="H85">
        <v>2</v>
      </c>
    </row>
    <row r="86" spans="1:8" x14ac:dyDescent="0.25">
      <c r="A86">
        <v>1005</v>
      </c>
      <c r="B86" t="s">
        <v>12</v>
      </c>
      <c r="C86" t="s">
        <v>101</v>
      </c>
      <c r="D86">
        <v>24</v>
      </c>
      <c r="E86" s="3">
        <v>77823</v>
      </c>
      <c r="F86" t="s">
        <v>108</v>
      </c>
      <c r="G86" t="s">
        <v>206</v>
      </c>
      <c r="H86">
        <v>1</v>
      </c>
    </row>
    <row r="87" spans="1:8" x14ac:dyDescent="0.25">
      <c r="A87">
        <v>1075</v>
      </c>
      <c r="B87" t="s">
        <v>79</v>
      </c>
      <c r="C87" t="s">
        <v>100</v>
      </c>
      <c r="D87">
        <v>37</v>
      </c>
      <c r="E87" s="3">
        <v>79183</v>
      </c>
      <c r="F87" t="s">
        <v>113</v>
      </c>
      <c r="G87" t="s">
        <v>206</v>
      </c>
      <c r="H87">
        <v>5</v>
      </c>
    </row>
    <row r="88" spans="1:8" x14ac:dyDescent="0.25">
      <c r="A88">
        <v>1086</v>
      </c>
      <c r="B88" t="s">
        <v>47</v>
      </c>
      <c r="C88" t="s">
        <v>103</v>
      </c>
      <c r="D88">
        <v>36</v>
      </c>
      <c r="E88" s="3">
        <v>80835</v>
      </c>
      <c r="F88" t="s">
        <v>154</v>
      </c>
      <c r="G88" t="s">
        <v>208</v>
      </c>
      <c r="H88">
        <v>4</v>
      </c>
    </row>
    <row r="89" spans="1:8" x14ac:dyDescent="0.25">
      <c r="A89">
        <v>1067</v>
      </c>
      <c r="B89" t="s">
        <v>71</v>
      </c>
      <c r="C89" t="s">
        <v>99</v>
      </c>
      <c r="D89">
        <v>26</v>
      </c>
      <c r="E89" s="3">
        <v>81198</v>
      </c>
      <c r="F89" t="s">
        <v>155</v>
      </c>
      <c r="G89" t="s">
        <v>209</v>
      </c>
      <c r="H89">
        <v>1</v>
      </c>
    </row>
    <row r="90" spans="1:8" x14ac:dyDescent="0.25">
      <c r="A90">
        <v>1091</v>
      </c>
      <c r="B90" t="s">
        <v>92</v>
      </c>
      <c r="C90" t="s">
        <v>104</v>
      </c>
      <c r="D90">
        <v>32</v>
      </c>
      <c r="E90" s="3">
        <v>81945</v>
      </c>
      <c r="F90" t="s">
        <v>160</v>
      </c>
      <c r="G90" t="s">
        <v>206</v>
      </c>
      <c r="H90">
        <v>5</v>
      </c>
    </row>
    <row r="91" spans="1:8" x14ac:dyDescent="0.25">
      <c r="A91">
        <v>1052</v>
      </c>
      <c r="B91" t="s">
        <v>56</v>
      </c>
      <c r="C91" t="s">
        <v>103</v>
      </c>
      <c r="D91">
        <v>52</v>
      </c>
      <c r="E91" s="3">
        <v>82018</v>
      </c>
      <c r="F91" t="s">
        <v>172</v>
      </c>
      <c r="G91" t="s">
        <v>207</v>
      </c>
      <c r="H91">
        <v>2</v>
      </c>
    </row>
    <row r="92" spans="1:8" x14ac:dyDescent="0.25">
      <c r="A92">
        <v>1016</v>
      </c>
      <c r="B92" t="s">
        <v>23</v>
      </c>
      <c r="C92" t="s">
        <v>99</v>
      </c>
      <c r="D92">
        <v>41</v>
      </c>
      <c r="E92" s="3">
        <v>85159</v>
      </c>
      <c r="F92" t="s">
        <v>164</v>
      </c>
      <c r="G92" t="s">
        <v>206</v>
      </c>
      <c r="H92">
        <v>5</v>
      </c>
    </row>
    <row r="93" spans="1:8" x14ac:dyDescent="0.25">
      <c r="A93">
        <v>1009</v>
      </c>
      <c r="B93" t="s">
        <v>16</v>
      </c>
      <c r="C93" t="s">
        <v>99</v>
      </c>
      <c r="D93">
        <v>42</v>
      </c>
      <c r="E93" s="3">
        <v>85237</v>
      </c>
      <c r="F93" t="s">
        <v>169</v>
      </c>
      <c r="G93" t="s">
        <v>209</v>
      </c>
      <c r="H93">
        <v>2</v>
      </c>
    </row>
    <row r="94" spans="1:8" x14ac:dyDescent="0.25">
      <c r="A94">
        <v>1056</v>
      </c>
      <c r="B94" t="s">
        <v>60</v>
      </c>
      <c r="C94" t="s">
        <v>104</v>
      </c>
      <c r="D94">
        <v>37</v>
      </c>
      <c r="E94" s="3">
        <v>85596</v>
      </c>
      <c r="F94" t="s">
        <v>141</v>
      </c>
      <c r="G94" t="s">
        <v>208</v>
      </c>
      <c r="H94">
        <v>2</v>
      </c>
    </row>
    <row r="95" spans="1:8" x14ac:dyDescent="0.25">
      <c r="A95">
        <v>1071</v>
      </c>
      <c r="B95" t="s">
        <v>75</v>
      </c>
      <c r="C95" t="s">
        <v>99</v>
      </c>
      <c r="D95">
        <v>41</v>
      </c>
      <c r="E95" s="3">
        <v>85724</v>
      </c>
      <c r="F95" t="s">
        <v>133</v>
      </c>
      <c r="G95" t="s">
        <v>206</v>
      </c>
      <c r="H95">
        <v>1</v>
      </c>
    </row>
    <row r="96" spans="1:8" x14ac:dyDescent="0.25">
      <c r="A96">
        <v>1097</v>
      </c>
      <c r="B96" t="s">
        <v>95</v>
      </c>
      <c r="C96" t="s">
        <v>104</v>
      </c>
      <c r="D96">
        <v>47</v>
      </c>
      <c r="E96" s="3">
        <v>86682</v>
      </c>
      <c r="F96" t="s">
        <v>134</v>
      </c>
      <c r="G96" t="s">
        <v>209</v>
      </c>
      <c r="H96">
        <v>5</v>
      </c>
    </row>
    <row r="97" spans="1:8" x14ac:dyDescent="0.25">
      <c r="A97">
        <v>1018</v>
      </c>
      <c r="B97" t="s">
        <v>25</v>
      </c>
      <c r="C97" t="s">
        <v>104</v>
      </c>
      <c r="D97">
        <v>37</v>
      </c>
      <c r="E97" s="3">
        <v>87541</v>
      </c>
      <c r="F97" t="s">
        <v>145</v>
      </c>
      <c r="G97" t="s">
        <v>209</v>
      </c>
      <c r="H97">
        <v>1</v>
      </c>
    </row>
    <row r="98" spans="1:8" x14ac:dyDescent="0.25">
      <c r="A98">
        <v>1041</v>
      </c>
      <c r="B98" t="s">
        <v>46</v>
      </c>
      <c r="C98" t="s">
        <v>101</v>
      </c>
      <c r="D98">
        <v>24</v>
      </c>
      <c r="E98" s="3">
        <v>88911</v>
      </c>
      <c r="F98" t="s">
        <v>186</v>
      </c>
      <c r="G98" t="s">
        <v>204</v>
      </c>
      <c r="H98">
        <v>2</v>
      </c>
    </row>
    <row r="99" spans="1:8" x14ac:dyDescent="0.25">
      <c r="A99">
        <v>1038</v>
      </c>
      <c r="B99" t="s">
        <v>43</v>
      </c>
      <c r="C99" t="s">
        <v>100</v>
      </c>
      <c r="D99">
        <v>38</v>
      </c>
      <c r="E99" s="3">
        <v>89332</v>
      </c>
      <c r="F99" t="s">
        <v>126</v>
      </c>
      <c r="G99" t="s">
        <v>209</v>
      </c>
      <c r="H99">
        <v>1</v>
      </c>
    </row>
    <row r="100" spans="1:8" x14ac:dyDescent="0.25">
      <c r="A100">
        <v>1022</v>
      </c>
      <c r="B100" t="s">
        <v>28</v>
      </c>
      <c r="C100" t="s">
        <v>102</v>
      </c>
      <c r="D100">
        <v>26</v>
      </c>
      <c r="E100" s="3">
        <v>89337</v>
      </c>
      <c r="F100" t="s">
        <v>118</v>
      </c>
      <c r="G100" t="s">
        <v>205</v>
      </c>
      <c r="H100">
        <v>1</v>
      </c>
    </row>
    <row r="101" spans="1:8" x14ac:dyDescent="0.25">
      <c r="A101">
        <v>1010</v>
      </c>
      <c r="B101" t="s">
        <v>17</v>
      </c>
      <c r="C101" t="s">
        <v>104</v>
      </c>
      <c r="D101">
        <v>35</v>
      </c>
      <c r="E101" s="3">
        <v>89843</v>
      </c>
      <c r="F101" t="s">
        <v>157</v>
      </c>
      <c r="G101" t="s">
        <v>207</v>
      </c>
      <c r="H101">
        <v>3</v>
      </c>
    </row>
  </sheetData>
  <mergeCells count="4">
    <mergeCell ref="L5:O5"/>
    <mergeCell ref="L6:O6"/>
    <mergeCell ref="L7:O7"/>
    <mergeCell ref="L8:O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Applying_Table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MUNAGALA SURESH REDDY</cp:lastModifiedBy>
  <dcterms:created xsi:type="dcterms:W3CDTF">2025-08-12T16:43:52Z</dcterms:created>
  <dcterms:modified xsi:type="dcterms:W3CDTF">2025-08-12T19:22:31Z</dcterms:modified>
</cp:coreProperties>
</file>